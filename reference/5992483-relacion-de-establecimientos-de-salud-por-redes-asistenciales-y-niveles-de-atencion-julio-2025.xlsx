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slicers/slicer1.xml" ContentType="application/vnd.ms-excel.slicer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car.bellido\Downloads\"/>
    </mc:Choice>
  </mc:AlternateContent>
  <xr:revisionPtr revIDLastSave="0" documentId="13_ncr:1_{5C799C50-C528-487E-A30E-4F2BC1D6EAFD}" xr6:coauthVersionLast="47" xr6:coauthVersionMax="47" xr10:uidLastSave="{00000000-0000-0000-0000-000000000000}"/>
  <workbookProtection workbookAlgorithmName="SHA-512" workbookHashValue="r4o67uWlFe9TNmH3pU/T2x7cfGbXMuuIm2Z0CttRcscDwDp4i7mCdwx6pi5+2PPh/w24RvhP8wtBczkz8hC1BQ==" workbookSaltValue="oYg6FGhMtsVH8csTt4+M4w==" workbookSpinCount="100000" lockStructure="1"/>
  <bookViews>
    <workbookView xWindow="-120" yWindow="-120" windowWidth="29040" windowHeight="15840" xr2:uid="{00000000-000D-0000-FFFF-FFFF00000000}"/>
  </bookViews>
  <sheets>
    <sheet name="Menú" sheetId="9" r:id="rId1"/>
    <sheet name="CentrosFuncional" sheetId="11" r:id="rId2"/>
    <sheet name="Niveles" sheetId="7" r:id="rId3"/>
    <sheet name="Redes" sheetId="12" r:id="rId4"/>
  </sheets>
  <definedNames>
    <definedName name="_xlnm._FilterDatabase" localSheetId="1" hidden="1">CentrosFuncional!$A$11:$V$11</definedName>
    <definedName name="Consulta_desde_pentahodev" localSheetId="1" hidden="1">CentrosFuncional!$A$12:$N$404</definedName>
    <definedName name="Consulta_desde_pentahodev" localSheetId="0" hidden="1">Menú!$I$58:$I$59</definedName>
    <definedName name="Consulta_desde_pentahodev" localSheetId="2" hidden="1">Niveles!$C$15:$E$25</definedName>
    <definedName name="Consulta_desde_pentahodev" localSheetId="3" hidden="1">Redes!$B$13:$P$46</definedName>
    <definedName name="Consulta_desde_pentahodev_1" localSheetId="1" hidden="1">CentrosFuncional!$A$422:$I$431</definedName>
    <definedName name="Consulta_desde_pentahodev_1" localSheetId="0" hidden="1">Menú!$I$61:$I$62</definedName>
    <definedName name="Consulta_desde_pentahodev_1" localSheetId="2" hidden="1">Niveles!$C$33:$E$117</definedName>
    <definedName name="Consulta_desde_pentahodev_1" localSheetId="3" hidden="1">Redes!$B$74:$E$78</definedName>
    <definedName name="Consulta_desde_pentahodev_2" localSheetId="0" hidden="1">Menú!$I$64:$I$65</definedName>
    <definedName name="Consulta_desde_pentahodev_2" localSheetId="2" hidden="1">Niveles!$C$126:$E$424</definedName>
    <definedName name="Consulta_desde_pentahodev_3" localSheetId="0" hidden="1">Menú!$I$67:$I$68</definedName>
    <definedName name="Consulta_desde_pentahodev_3" localSheetId="2" hidden="1">Niveles!$C$435:$E$437</definedName>
    <definedName name="Consulta_desde_pentahodev_4" localSheetId="2" hidden="1">Niveles!$C$442:$E$449</definedName>
    <definedName name="SegmentaciónDeDatos_RED">#N/A</definedName>
    <definedName name="SegmentaciónDeDatos_RED1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9" l="1"/>
  <c r="I54" i="9"/>
  <c r="I52" i="9" l="1"/>
  <c r="I56" i="9" l="1"/>
  <c r="I51" i="9" l="1"/>
  <c r="E73" i="12" l="1"/>
  <c r="D73" i="12"/>
  <c r="C73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E441" i="7"/>
  <c r="I448" i="7" s="1"/>
  <c r="E434" i="7"/>
  <c r="I444" i="7" s="1"/>
  <c r="E125" i="7"/>
  <c r="I34" i="7" s="1"/>
  <c r="E32" i="7"/>
  <c r="I23" i="7" s="1"/>
  <c r="E14" i="7"/>
  <c r="I19" i="7" s="1"/>
  <c r="J451" i="7" l="1"/>
  <c r="I37" i="7"/>
  <c r="I439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desde pentahodev" type="1" refreshedVersion="6" background="1" saveData="1">
    <dbPr connection="DRIVER=SQL Server;SERVER=10.0.0.73;UID=pentahodev;APP=Microsoft Office 2016;WSID=ESSLIMW02610087" command="SELECT DATA_ESTABLECIMIENTO_ESSALUD.RED, DATA_ESTABLECIMIENTO_ESSALUD.Tipo, DATA_ESTABLECIMIENTO_ESSALUD.COD_EESS, DATA_ESTABLECIMIENTO_ESSALUD.COD_SES, DATA_ESTABLECIMIENTO_ESSALUD.COD_RENAES, DATA_ESTABLECIMIENTO_ESSALUD.TIPO_2, DATA_ESTABLECIMIENTO_ESSALUD.CENTROS_ASISTENCIALES, DATA_ESTABLECIMIENTO_ESSALUD.DPTO, DATA_ESTABLECIMIENTO_ESSALUD.PROVINCIA, DATA_ESTABLECIMIENTO_ESSALUD.DISTRITO,_x000d__x000a_DATA_ESTABLECIMIENTO_ESSALUD.NUMERO_RESOLUCION, _x000d__x000a_DATA_ESTABLECIMIENTO_ESSALUD.ESTADO, DATA_ESTABLECIMIENTO_ESSALUD.CATEGORIA_MINSA, DATA_ESTABLECIMIENTO_ESSALUD.RESOLUCION_CATEGORIZACION_x000d__x000a_FROM pentahodev.dbo.DATA_ESTABLECIMIENTO_ESSALUD DATA_ESTABLECIMIENTO_ESSALUD_x000d__x000a_order by RED,orden"/>
  </connection>
  <connection id="2" xr16:uid="{00000000-0015-0000-FFFF-FFFF01000000}" name="Consulta desde pentahodev1" type="1" refreshedVersion="6" background="1" saveData="1">
    <dbPr connection="DRIVER=SQL Server;SERVER=10.0.0.73;UID=pentahodev;APP=Microsoft Office 2016;WSID=ESSLIMW02610087" command="SELECT DATA_ESTABLECIMIENTO_EXTRAS.RED, DATA_ESTABLECIMIENTO_EXTRAS.COD_GH, DATA_ESTABLECIMIENTO_EXTRAS.COD_SES, DATA_ESTABLECIMIENTO_EXTRAS.TIPO, DATA_ESTABLECIMIENTO_EXTRAS.CENTROS_ASISTENCIALES, DATA_ESTABLECIMIENTO_EXTRAS.DPTO, DATA_ESTABLECIMIENTO_EXTRAS.PROVINCIA, DATA_ESTABLECIMIENTO_EXTRAS.DISTRITO, DATA_ESTABLECIMIENTO_EXTRAS.NRO_CONTRATO_CONVENIO_x000d__x000a_FROM pentahodev.dbo.DATA_ESTABLECIMIENTO_EXTRAS DATA_ESTABLECIMIENTO_EXTRAS"/>
  </connection>
  <connection id="3" xr16:uid="{00000000-0015-0000-FFFF-FFFF02000000}" name="Consulta desde pentahodev2" type="1" refreshedVersion="6" background="1" saveData="1">
    <dbPr connection="DRIVER=SQL Server;SERVER=10.0.0.73;UID=gcpp.ggi.sgae;Trusted_Connection=Yes;APP=Microsoft Office 2016;WSID=ESSLIMW02610087" command="select  _x000d__x000a__x000d__x000a_(CASE WHEN RED IS NULL THEN CENTROS_ASISTENCIALES ELSE RED END) ,_x000d__x000a_sum(case when TIPO_2 IN ('IPO','INCOR') then 1 else 0 end)+_x000d__x000a_sum(case when TIPO_2 IN ('CNSR') then 1 else 0 end)+_x000d__x000a_sum(case when TIPO_2='H.N.' then 1 else 0 end)+_x000d__x000a_sum(case when TIPO_2='H.IV' then 1 else 0 end)+_x000d__x000a_sum(case when TIPO_2='H.III' then 1 else 0 end)+_x000d__x000a_sum(case when TIPO_2='H.II' then 1 else 0 end)+_x000d__x000a_sum(case when TIPO_2 IN('H.I','H.') then 1 else 0 end)+_x000d__x000a_sum(case when TIPO_2='POL.' then 1 else 0 end)+_x000d__x000a_sum(case when TIPO_2='C.M.' then 1 else 0 end)+_x000d__x000a_sum(case when TIPO_2='P.M.' then 1 else 0 end)+_x000d__x000a_sum(case when TIPO_2='C.A.P.III' then 1 else 0 end)+_x000d__x000a_sum(case when TIPO_2='C.A.P.II' then 1 else 0 end)+_x000d__x000a_sum(case when TIPO_2='C.A.P.I' then 1 else 0 end),_x000d__x000a__x000d__x000a_sum(case when TIPO_2 IN ('IPO','INCOR') then 1 else 0 end),_x000d__x000a_sum(case when TIPO_2 IN ('CNSR') then 1 else 0 end),_x000d__x000a_sum(case when TIPO_2='H.N.' then 1 else 0 end),_x000d__x000a_sum(case when TIPO_2='H.IV' then 1 else 0 end),_x000d__x000a_sum(case when TIPO_2='H.III' then 1 else 0 end),_x000d__x000a_sum(case when TIPO_2='H.II' then 1 else 0 end),_x000d__x000a_sum(case when TIPO_2 IN('H.I','H.') then 1 else 0 end),_x000d__x000a_sum(case when TIPO_2='POL.' then 1 else 0 end),_x000d__x000a_sum(case when TIPO_2='C.M.' then 1 else 0 end),_x000d__x000a_sum(case when TIPO_2='P.M.' then 1 else 0 end),_x000d__x000a_sum(case when TIPO_2='C.A.P.III' then 1 else 0 end),_x000d__x000a_sum(case when TIPO_2='C.A.P.II' then 1 else 0 end),_x000d__x000a_sum(case when TIPO_2='C.A.P.I' then 1 else 0 end)_x000d__x000a__x000d__x000a_from dbo.DATA_ESTABLECIMIENTO_ESSALUD_x000d__x000a_group by (CASE WHEN RED IS NULL THEN CENTROS_ASISTENCIALES ELSE RED END)_x000d__x000a_ORDER BY 1"/>
  </connection>
  <connection id="4" xr16:uid="{00000000-0015-0000-FFFF-FFFF03000000}" name="Consulta desde pentahodev3" type="1" refreshedVersion="6" background="1" saveData="1">
    <dbPr connection="DRIVER=SQL Server;SERVER=10.0.0.73;UID=gcpp.ggi.sgae;Trusted_Connection=Yes;APP=Microsoft Office 2016;WSID=ESSLIMW02610087" command="select  _x000d__x000a__x000d__x000a_(CASE WHEN RED IS NULL THEN CENTROS_ASISTENCIALES ELSE RED END) ,_x000d__x000a_sum(case when TIPO='H.III' then 1 else 0 end)+_x000d__x000a_sum(case when TIPO='POL.' then 1 else 0 end),_x000d__x000a_sum(case when TIPO='H.III' then 1 else 0 end),_x000d__x000a_sum(case when TIPO='POL.' then 1 else 0 end)_x000d__x000a__x000d__x000a_from dbo.DATA_ESTABLECIMIENTO_EXTRAS_x000d__x000a_group by (CASE WHEN RED IS NULL THEN CENTROS_ASISTENCIALES ELSE RED END)_x000d__x000a_ORDER BY 1 ASC"/>
  </connection>
  <connection id="5" xr16:uid="{00000000-0015-0000-FFFF-FFFF04000000}" name="Consulta desde pentahodev4" type="1" refreshedVersion="6" background="1" saveData="1">
    <dbPr connection="DRIVER=SQL Server;SERVER=10.0.0.73;UID=gcpp.ggi.sgae;Trusted_Connection=Yes;APP=Microsoft Office 2016;WSID=ESSLIMW02610087" command="SELECT DATA_ESTABLECIMIENTO_ESSALUD.TIPO_2, DATA_ESTABLECIMIENTO_ESSALUD.CENTROS_ASISTENCIALES, DATA_ESTABLECIMIENTO_ESSALUD.DPTO_x000d__x000a_FROM pentahodev.dbo.DATA_ESTABLECIMIENTO_ESSALUD DATA_ESTABLECIMIENTO_ESSALUD_x000d__x000a_WHERE (DATA_ESTABLECIMIENTO_ESSALUD.NIVEL='NIVEL III')_x000d__x000a_order by orden"/>
  </connection>
  <connection id="6" xr16:uid="{00000000-0015-0000-FFFF-FFFF05000000}" name="Consulta desde pentahodev5" type="1" refreshedVersion="6" background="1" saveData="1">
    <dbPr connection="DRIVER=SQL Server;SERVER=10.0.0.73;UID=gcpp.ggi.sgae;Trusted_Connection=Yes;APP=Microsoft Office 2016;WSID=ESSLIMW02610087" command="SELECT DATA_ESTABLECIMIENTO_ESSALUD.TIPO_2, DATA_ESTABLECIMIENTO_ESSALUD.CENTROS_ASISTENCIALES, DATA_ESTABLECIMIENTO_ESSALUD.DPTO_x000d__x000a_FROM pentahodev.dbo.DATA_ESTABLECIMIENTO_ESSALUD DATA_ESTABLECIMIENTO_ESSALUD_x000d__x000a_WHERE (DATA_ESTABLECIMIENTO_ESSALUD.NIVEL='NIVEL II')_x000d__x000a_order by orden"/>
  </connection>
  <connection id="7" xr16:uid="{00000000-0015-0000-FFFF-FFFF06000000}" name="Consulta desde pentahodev6" type="1" refreshedVersion="6" background="1" saveData="1">
    <dbPr connection="DRIVER=SQL Server;SERVER=10.0.0.73;UID=gcpp.ggi.sgae;Trusted_Connection=Yes;APP=Microsoft Office 2016;WSID=ESSLIMW02610087" command="SELECT DATA_ESTABLECIMIENTO_ESSALUD.TIPO_2, DATA_ESTABLECIMIENTO_ESSALUD.CENTROS_ASISTENCIALES, DATA_ESTABLECIMIENTO_ESSALUD.DPTO_x000d__x000a_FROM pentahodev.dbo.DATA_ESTABLECIMIENTO_ESSALUD DATA_ESTABLECIMIENTO_ESSALUD_x000d__x000a_WHERE (DATA_ESTABLECIMIENTO_ESSALUD.NIVEL='NIVEL I')_x000d__x000a_order by orden"/>
  </connection>
  <connection id="8" xr16:uid="{00000000-0015-0000-FFFF-FFFF07000000}" name="Consulta desde pentahodev7" type="1" refreshedVersion="6" background="1" saveData="1">
    <dbPr connection="DRIVER=SQL Server;SERVER=10.0.0.73;UID=pentahodev;APP=Microsoft Office 2016;WSID=ESSLIMW02610087" command="SELECT DATA_ESTABLECIMIENTO_EXTRAS.TIPO, DATA_ESTABLECIMIENTO_EXTRAS.CENTROS_ASISTENCIALES, DATA_ESTABLECIMIENTO_EXTRAS.DPTO_x000d__x000a_FROM pentahodev.dbo.DATA_ESTABLECIMIENTO_EXTRAS DATA_ESTABLECIMIENTO_EXTRAS_x000d__x000a_WHERE (DATA_ESTABLECIMIENTO_EXTRAS.NIVEL='NIVEL II')_x000d__x000a_order by orden"/>
  </connection>
  <connection id="9" xr16:uid="{00000000-0015-0000-FFFF-FFFF08000000}" name="Consulta desde pentahodev8" type="1" refreshedVersion="6" background="1" saveData="1">
    <dbPr connection="DRIVER=SQL Server;SERVER=10.0.0.73;UID=pentahodev;APP=Microsoft Office 2016;WSID=ESSLIMW02610087" command="SELECT DATA_ESTABLECIMIENTO_EXTRAS.TIPO, DATA_ESTABLECIMIENTO_EXTRAS.CENTROS_ASISTENCIALES, DATA_ESTABLECIMIENTO_EXTRAS.DPTO_x000d__x000a_FROM pentahodev.dbo.DATA_ESTABLECIMIENTO_EXTRAS DATA_ESTABLECIMIENTO_EXTRAS_x000d__x000a_WHERE (DATA_ESTABLECIMIENTO_EXTRAS.NIVEL='NIVEL I')_x000d__x000a_order by orden"/>
  </connection>
  <connection id="10" xr16:uid="{00000000-0015-0000-FFFF-FFFF09000000}" name="Consulta desde pentahodev9" type="1" refreshedVersion="6" background="1" saveData="1">
    <dbPr connection="DRIVER=SQL Server;SERVER=10.0.0.73;UID=gcpp.ggi.sgae;Trusted_Connection=Yes;APP=Microsoft Office 2016;WSID=ESSLIMW02610087" command="SELECT COUNT(*)CANTIDAD_x000d__x000a_FROM(_x000d__x000a_SELECT DISTINCT RED_NC_x000d__x000a_from dbo.DATA_ESTABLECIMIENTO_ESSALUD_x000d__x000a_where RED_NC like 'R.A.%')X"/>
  </connection>
  <connection id="11" xr16:uid="{00000000-0015-0000-FFFF-FFFF0A000000}" name="Consulta desde pentahodev91" type="1" refreshedVersion="6" background="1" saveData="1">
    <dbPr connection="DRIVER=SQL Server;SERVER=10.0.0.73;UID=gcpp.ggi.sgae;Trusted_Connection=Yes;APP=Microsoft Office 2016;WSID=ESSLIMW02610087" command="SELECT COUNT(*)CANTIDAD_x000d__x000a_FROM(_x000d__x000a_SELECT DISTINCT RED_NC_x000d__x000a_from dbo.DATA_ESTABLECIMIENTO_ESSALUD_x000d__x000a_where RED_NC like 'R.P.%')X"/>
  </connection>
  <connection id="12" xr16:uid="{00000000-0015-0000-FFFF-FFFF0B000000}" name="Consulta desde pentahodev911" type="1" refreshedVersion="6" background="1" saveData="1">
    <dbPr connection="DRIVER=SQL Server;SERVER=10.0.0.73;UID=gcpp.ggi.sgae;Trusted_Connection=Yes;APP=Microsoft Office 2016;WSID=ESSLIMW02610087" command="SELECT COUNT(*)CANTIDAD_x000d__x000a_FROM(_x000d__x000a_SELECT DISTINCT RED_NC_x000d__x000a_from dbo.DATA_ESTABLECIMIENTO_ESSALUD_x000d__x000a_where RED_NC IN ('CNSR'))X"/>
  </connection>
  <connection id="13" xr16:uid="{00000000-0015-0000-FFFF-FFFF0C000000}" name="Consulta desde pentahodev9111" type="1" refreshedVersion="6" background="1" saveData="1">
    <dbPr connection="DRIVER=SQL Server;SERVER=10.0.0.73;UID=gcpp.ggi.sgae;Trusted_Connection=Yes;APP=Microsoft Office 2016;WSID=ESSLIMW02610087" command="SELECT COUNT(*)CANTIDAD_x000d__x000a_FROM(_x000d__x000a_SELECT DISTINCT RED_NC_x000d__x000a_from dbo.DATA_ESTABLECIMIENTO_ESSALUD_x000d__x000a_where RED_NC IN ('INCOR','IPO'))X"/>
  </connection>
</connections>
</file>

<file path=xl/sharedStrings.xml><?xml version="1.0" encoding="utf-8"?>
<sst xmlns="http://schemas.openxmlformats.org/spreadsheetml/2006/main" count="6924" uniqueCount="2090">
  <si>
    <t>Oferta Propia:</t>
  </si>
  <si>
    <t>establecimientos de salud</t>
  </si>
  <si>
    <t>centros asistenciales en funcionamiento</t>
  </si>
  <si>
    <t>centros asistenciales creados sin funcionar</t>
  </si>
  <si>
    <t>centros asistenciales que no están funcionando</t>
  </si>
  <si>
    <t>ExtraInstitucional:</t>
  </si>
  <si>
    <t>CANTIDAD</t>
  </si>
  <si>
    <t>R.A.</t>
  </si>
  <si>
    <t>R.P.</t>
  </si>
  <si>
    <t>INSTITUTOS</t>
  </si>
  <si>
    <t>ESPECIALIZADOS</t>
  </si>
  <si>
    <t>Gerencia Central de Planeamiento y Presupuesto</t>
  </si>
  <si>
    <t>Gerencia de Gestión de la Información</t>
  </si>
  <si>
    <t>ESSALUD: ESTABLECIMIENTOS DE SALUD, POR UBICACIÓN GEOGRÁFICA SEGÚN REDES ASISTENCIALES</t>
  </si>
  <si>
    <t>Sub Gerencia de Estadística</t>
  </si>
  <si>
    <t>JULIO 2025</t>
  </si>
  <si>
    <t>RED ASISTENCIAL</t>
  </si>
  <si>
    <t xml:space="preserve">Tipo  R.A.1/ </t>
  </si>
  <si>
    <t>COD EESS</t>
  </si>
  <si>
    <t>COD SES</t>
  </si>
  <si>
    <t>COD RENAES</t>
  </si>
  <si>
    <t>TIPO 2/ 3/</t>
  </si>
  <si>
    <t>CENTROS ASISTENCIALES</t>
  </si>
  <si>
    <t>UBICACIÓN GEOGRÁFICA</t>
  </si>
  <si>
    <t>Nro. DE RESOLUCIÓN (*)</t>
  </si>
  <si>
    <t>ESTADO</t>
  </si>
  <si>
    <t>CATEGORÍA MINSA</t>
  </si>
  <si>
    <t>RESOLUCIÓN DE CATEGORIZACIÓN</t>
  </si>
  <si>
    <t>DPTO.</t>
  </si>
  <si>
    <t>PROVINCIA</t>
  </si>
  <si>
    <t>DISTRITO</t>
  </si>
  <si>
    <t>RED</t>
  </si>
  <si>
    <t>Tipo</t>
  </si>
  <si>
    <t>COD_EESS</t>
  </si>
  <si>
    <t>COD_SES</t>
  </si>
  <si>
    <t>COD_RENAES</t>
  </si>
  <si>
    <t>TIPO_2</t>
  </si>
  <si>
    <t>CENTROS_ASISTENCIALES</t>
  </si>
  <si>
    <t>DPTO</t>
  </si>
  <si>
    <t>NUMERO_RESOLUCION</t>
  </si>
  <si>
    <t>CATEGORIA_MINSA</t>
  </si>
  <si>
    <t>RESOLUCION_CATEGORIZACION</t>
  </si>
  <si>
    <t>CNSR</t>
  </si>
  <si>
    <t>SIN TIPO</t>
  </si>
  <si>
    <t>401</t>
  </si>
  <si>
    <t>701</t>
  </si>
  <si>
    <t>00016488</t>
  </si>
  <si>
    <t>CENTRO NACIONAL DE SALUD RENAL</t>
  </si>
  <si>
    <t>LIMA</t>
  </si>
  <si>
    <t>JESÚS MARÍA</t>
  </si>
  <si>
    <t>RES. 426-PE-ESSALUD-2007 (13-07-07).pdf</t>
  </si>
  <si>
    <t>FUNCIONA</t>
  </si>
  <si>
    <t>Servicio Médico de Apoyo Servicios en Hemodiálisis y Diálisis Peritoneal</t>
  </si>
  <si>
    <t>030/2022-DMGS-DIRIS-LC</t>
  </si>
  <si>
    <t>INCOR</t>
  </si>
  <si>
    <t>392</t>
  </si>
  <si>
    <t>700</t>
  </si>
  <si>
    <t>00018011</t>
  </si>
  <si>
    <t>INSTITUTO NACIONAL CARDIOVASCULAR "CARLOS ALBERTO PESCHIERA CARRILLO"</t>
  </si>
  <si>
    <t>RES. 1250-PE-ESSALUD-2011 (11-11-11).pdf</t>
  </si>
  <si>
    <t>III-E</t>
  </si>
  <si>
    <t>RA Nº230-2019-DIRIS (24-05-2019)</t>
  </si>
  <si>
    <t>IPO</t>
  </si>
  <si>
    <t>382</t>
  </si>
  <si>
    <t>702</t>
  </si>
  <si>
    <t>00016363</t>
  </si>
  <si>
    <t>INSTITUTO PERUANO DE OFTALMOLOGÍA</t>
  </si>
  <si>
    <t>PIURA</t>
  </si>
  <si>
    <t>CASTILLA</t>
  </si>
  <si>
    <t>RES. 253-PE-ESSALUD-2000 (25-08-00).pdf</t>
  </si>
  <si>
    <t>II-E</t>
  </si>
  <si>
    <t>RA Nº0809-GOB-PIURA- DEDSS (31-12-2021)</t>
  </si>
  <si>
    <t>RED ASISTENCIAL AMAZONAS</t>
  </si>
  <si>
    <t>C</t>
  </si>
  <si>
    <t>153</t>
  </si>
  <si>
    <t>00009067</t>
  </si>
  <si>
    <t>H.I</t>
  </si>
  <si>
    <t>EL BUEN SAMARITANO</t>
  </si>
  <si>
    <t>AMAZONAS</t>
  </si>
  <si>
    <t>UTCUBAMBA</t>
  </si>
  <si>
    <t>BAGUA GRANDE</t>
  </si>
  <si>
    <t>RES. 248-PE-ESSALUD-2000 (23-08-00).pdf</t>
  </si>
  <si>
    <t>II-1</t>
  </si>
  <si>
    <t>RDRS N° 417-2019-GRA/DRSA (15.04.2019)</t>
  </si>
  <si>
    <t>154</t>
  </si>
  <si>
    <t xml:space="preserve">00009068 </t>
  </si>
  <si>
    <t>HÉROES DEL CENEPA</t>
  </si>
  <si>
    <t>BAGUA</t>
  </si>
  <si>
    <t>LA PECA</t>
  </si>
  <si>
    <t>RES. 249-PE-ESSALUD-2000 (23-08-00).pdf</t>
  </si>
  <si>
    <t>RDRS N° 416-2019-GRA/DRSA (15.04.2019)</t>
  </si>
  <si>
    <t>155</t>
  </si>
  <si>
    <t>00009066</t>
  </si>
  <si>
    <t>HIGOS URCO</t>
  </si>
  <si>
    <t>CHACHAPOYAS</t>
  </si>
  <si>
    <t>RES. 406-PE-ESSALUD-1999 (30-12-99).pdf</t>
  </si>
  <si>
    <t>636-2019-GRA/DRS</t>
  </si>
  <si>
    <t>160</t>
  </si>
  <si>
    <t>843</t>
  </si>
  <si>
    <t>00009069</t>
  </si>
  <si>
    <t>C.A.P.II</t>
  </si>
  <si>
    <t>RODRÍGUEZ DE MENDOZA</t>
  </si>
  <si>
    <t>SAN NICOLÁS</t>
  </si>
  <si>
    <t>RES. 412-PE-ESSALUD-2011 (06-06-11).pdf</t>
  </si>
  <si>
    <t>I-3</t>
  </si>
  <si>
    <t>RDRS N° 1138-2019-GRA/DRSA (27.08.2019)</t>
  </si>
  <si>
    <t>377</t>
  </si>
  <si>
    <t>845</t>
  </si>
  <si>
    <t>00009070</t>
  </si>
  <si>
    <t>SANTA MARÍA DE NIEVA</t>
  </si>
  <si>
    <t>CONDORCANQUI</t>
  </si>
  <si>
    <t>NIEVA</t>
  </si>
  <si>
    <t>RDRS N° 1355-2019-GRA/DRSA (10.10.2019)</t>
  </si>
  <si>
    <t>507</t>
  </si>
  <si>
    <t>855</t>
  </si>
  <si>
    <t>00021230</t>
  </si>
  <si>
    <t>C.A.P.I</t>
  </si>
  <si>
    <t>IMAZA</t>
  </si>
  <si>
    <t>RES. 594-PE-ESSALUD-2010 (18-11-10).pdf</t>
  </si>
  <si>
    <t>I-2</t>
  </si>
  <si>
    <t>RDRS N° 1688-2018-GRA/DRSA (14.11.2018)</t>
  </si>
  <si>
    <t>156</t>
  </si>
  <si>
    <t>00009071</t>
  </si>
  <si>
    <t>LAMUD</t>
  </si>
  <si>
    <t>LUYA</t>
  </si>
  <si>
    <t>RDRS N° 1137-2019-GRA/DRSA (27.08.2019)</t>
  </si>
  <si>
    <t>157</t>
  </si>
  <si>
    <t>00009073</t>
  </si>
  <si>
    <t>LONYA GRANDE</t>
  </si>
  <si>
    <t>RDRS N° 1632-2017-GRA/DRSA</t>
  </si>
  <si>
    <t>158</t>
  </si>
  <si>
    <t>00009074</t>
  </si>
  <si>
    <t>OCALLI</t>
  </si>
  <si>
    <t>RDRS N° 1136-2018-GRA/DRSA (20.08.2018)</t>
  </si>
  <si>
    <t>159</t>
  </si>
  <si>
    <t>00009072</t>
  </si>
  <si>
    <t>PEDRO RUIZ GALLO</t>
  </si>
  <si>
    <t>BONGARÁ</t>
  </si>
  <si>
    <t>JAZÁN</t>
  </si>
  <si>
    <t>RDRS N° 1136-2019-GRA/DRSA (27.08.2019)</t>
  </si>
  <si>
    <t>RED ASISTENCIAL ANCASH</t>
  </si>
  <si>
    <t>B</t>
  </si>
  <si>
    <t>161</t>
  </si>
  <si>
    <t>00009047</t>
  </si>
  <si>
    <t>H.III</t>
  </si>
  <si>
    <t>CHIMBOTE</t>
  </si>
  <si>
    <t>ANCASH</t>
  </si>
  <si>
    <t>SANTA</t>
  </si>
  <si>
    <t>Res 2119-de-ipss-1991.pdf</t>
  </si>
  <si>
    <t>SIN CATEGORIA</t>
  </si>
  <si>
    <t>167</t>
  </si>
  <si>
    <t>00009054</t>
  </si>
  <si>
    <t>CONO SUR</t>
  </si>
  <si>
    <t>RES. 098-GG-IPSS 99 (22-01-99).pdf</t>
  </si>
  <si>
    <t>I-4</t>
  </si>
  <si>
    <t>1512-2012-REGION-A-DIRES/DGDRH</t>
  </si>
  <si>
    <t>487</t>
  </si>
  <si>
    <t>00010013</t>
  </si>
  <si>
    <t>POL.</t>
  </si>
  <si>
    <t>VICTOR PANTA RODRIGUEZ</t>
  </si>
  <si>
    <t>RES.121-PE-ESSALUD-2015 (05-02-15).pdf</t>
  </si>
  <si>
    <t>014-2020-REGION-A-DIRES/DGDRH</t>
  </si>
  <si>
    <t>165</t>
  </si>
  <si>
    <t>00009057</t>
  </si>
  <si>
    <t>C.M.</t>
  </si>
  <si>
    <t>CASMA</t>
  </si>
  <si>
    <t>009-2020-REGION-A-DIRES/DGDRH</t>
  </si>
  <si>
    <t>166</t>
  </si>
  <si>
    <t>00009055</t>
  </si>
  <si>
    <t>COISHCO</t>
  </si>
  <si>
    <t>010-2020-REGION-A-DIRES/DGDRH</t>
  </si>
  <si>
    <t>169</t>
  </si>
  <si>
    <t>00009059</t>
  </si>
  <si>
    <t>HUARMEY</t>
  </si>
  <si>
    <t>935-2018-REGION-A-DIRES/DGDRH</t>
  </si>
  <si>
    <t>170</t>
  </si>
  <si>
    <t>00009203</t>
  </si>
  <si>
    <t>SIHUAS</t>
  </si>
  <si>
    <t>004-2019-REGION-A-DIRES/DGDRH</t>
  </si>
  <si>
    <t>185</t>
  </si>
  <si>
    <t>00009921</t>
  </si>
  <si>
    <t>SAN JACINTO</t>
  </si>
  <si>
    <t>NEPEÑA</t>
  </si>
  <si>
    <t>RES.135-PE-ESSALUD-2009 (20-03-09).pdf</t>
  </si>
  <si>
    <t>016-2020-REGION-A-DIRES/DGDRH</t>
  </si>
  <si>
    <t>171</t>
  </si>
  <si>
    <t>00009924</t>
  </si>
  <si>
    <t>P.M.</t>
  </si>
  <si>
    <t>CABANA</t>
  </si>
  <si>
    <t>PALLASCA</t>
  </si>
  <si>
    <t>Res 645-gg-ipss-1996.pdf</t>
  </si>
  <si>
    <t>036-2015-REGION-A-DIRES/DGDRH (12/01/2015)</t>
  </si>
  <si>
    <t>175</t>
  </si>
  <si>
    <t>00009201</t>
  </si>
  <si>
    <t>CONCHUCOS</t>
  </si>
  <si>
    <t>012-2020-REGION-A-DIRES/DGDRH</t>
  </si>
  <si>
    <t>379</t>
  </si>
  <si>
    <t>00009925</t>
  </si>
  <si>
    <t>013-2020-REGION-A-DIRES/DGDRH</t>
  </si>
  <si>
    <t>178</t>
  </si>
  <si>
    <t>00009202</t>
  </si>
  <si>
    <t>PAMPAS</t>
  </si>
  <si>
    <t>017-2020-REGION-A-DIRES/DGDRH</t>
  </si>
  <si>
    <t>RED ASISTENCIAL APURÍMAC</t>
  </si>
  <si>
    <t>067</t>
  </si>
  <si>
    <t>00011213</t>
  </si>
  <si>
    <t>H.II</t>
  </si>
  <si>
    <t>ABANCAY</t>
  </si>
  <si>
    <t>APURÍMAC</t>
  </si>
  <si>
    <t>RES. 096-GG IPSS 99 (22-01-99).pdf</t>
  </si>
  <si>
    <t>II-2</t>
  </si>
  <si>
    <t>RD Nº 107-2019-DG-DISA/DIRESA</t>
  </si>
  <si>
    <t>068</t>
  </si>
  <si>
    <t>00011214</t>
  </si>
  <si>
    <t>ANDAHUAYLAS</t>
  </si>
  <si>
    <t>RD N° 020 -2018 -DG-DISURS CHANKA ANDAHUAYLAS</t>
  </si>
  <si>
    <t>070</t>
  </si>
  <si>
    <t>00011218</t>
  </si>
  <si>
    <t>CHALHUANCA</t>
  </si>
  <si>
    <t>AYMARAES</t>
  </si>
  <si>
    <t>RES.139-PE-ESSALUD-2009 (20-03-09).pdf</t>
  </si>
  <si>
    <t>RD Nº 008-2018-DG-DISA/DIRESA APU</t>
  </si>
  <si>
    <t>072</t>
  </si>
  <si>
    <t>847</t>
  </si>
  <si>
    <t>00011221</t>
  </si>
  <si>
    <t>CHINCHEROS</t>
  </si>
  <si>
    <t>RES.344-PE-ESSALUD-2008 (17-07-08).pdf</t>
  </si>
  <si>
    <t>RD Nº 007-2018-DG-DISA/DIRESA APU</t>
  </si>
  <si>
    <t>512</t>
  </si>
  <si>
    <t>00014923</t>
  </si>
  <si>
    <t>COTABAMBAS</t>
  </si>
  <si>
    <t>TAMBOBAMBA</t>
  </si>
  <si>
    <t>RES.415-PE-ESSALUD-2011 (06-06-11).pdf</t>
  </si>
  <si>
    <t>RD Nº 0010-2018-DG-DISA/DIRESA APU</t>
  </si>
  <si>
    <t>071</t>
  </si>
  <si>
    <t>00011215</t>
  </si>
  <si>
    <t>CHUQUIBAMBILLA</t>
  </si>
  <si>
    <t>GRAU</t>
  </si>
  <si>
    <t>RD Nº 664-2018-DG-DISA/DIRESA APU</t>
  </si>
  <si>
    <t>069</t>
  </si>
  <si>
    <t>00011216</t>
  </si>
  <si>
    <t>CURAHUASI</t>
  </si>
  <si>
    <t>RD Nº 668-2011-DG-DISA/DIRESA APU</t>
  </si>
  <si>
    <t>468</t>
  </si>
  <si>
    <t>00011217</t>
  </si>
  <si>
    <t>ANTABAMBA</t>
  </si>
  <si>
    <t>RES. 134-PE-ESSALUD-2009 (20-03-09).pdf</t>
  </si>
  <si>
    <t>RD Nº 009-2018-DG-DISA/DIRESA APU</t>
  </si>
  <si>
    <t>RED ASISTENCIAL AREQUIPA</t>
  </si>
  <si>
    <t>A</t>
  </si>
  <si>
    <t>003</t>
  </si>
  <si>
    <t>00013290</t>
  </si>
  <si>
    <t>H.N.</t>
  </si>
  <si>
    <t>CARLOS ALBERTO SEGUÍN ESCOBEDO</t>
  </si>
  <si>
    <t>AREQUIPA</t>
  </si>
  <si>
    <t>RES.157-PE-ESSALUD-2000 (29-05-00).pdf</t>
  </si>
  <si>
    <t>III-1</t>
  </si>
  <si>
    <t>RGR N° 572-2021-GRA/GRS/GR-DESP (05-08-21)</t>
  </si>
  <si>
    <t>076</t>
  </si>
  <si>
    <t>00013291</t>
  </si>
  <si>
    <t>YANAHUARA</t>
  </si>
  <si>
    <t>RES. 072-PE-ESSALUD-2000 (16-03-00).pdf</t>
  </si>
  <si>
    <t>RGR Nº1354-2018--DRA/GR (05-12-18)</t>
  </si>
  <si>
    <t>074</t>
  </si>
  <si>
    <t>00013295</t>
  </si>
  <si>
    <t>MANUEL DE TORRES MUÑOZ</t>
  </si>
  <si>
    <t>ISLAY</t>
  </si>
  <si>
    <t>MOLLENDO</t>
  </si>
  <si>
    <t>RGR Nº 951-2019-DRA/GR (14-06-19)</t>
  </si>
  <si>
    <t>079</t>
  </si>
  <si>
    <t>00013296</t>
  </si>
  <si>
    <t>EDMUNDO ESCOMEL</t>
  </si>
  <si>
    <t>PAUCARPATA</t>
  </si>
  <si>
    <t>RES. 341-GG-IPSS-98 (27-03-98).pdf</t>
  </si>
  <si>
    <t>RGR Nº 1280-2019-DRA/GR (22-08-19)</t>
  </si>
  <si>
    <t>075</t>
  </si>
  <si>
    <t>00011009</t>
  </si>
  <si>
    <t>SAMUEL PASTOR</t>
  </si>
  <si>
    <t>CAMANÁ</t>
  </si>
  <si>
    <t>RES. 073-PE-ESSALUD-2000 (16-03-00).pdf</t>
  </si>
  <si>
    <t>RGR Nº1356-2018--DRA/GR (05-12-18)</t>
  </si>
  <si>
    <t>077</t>
  </si>
  <si>
    <t>00013297</t>
  </si>
  <si>
    <t>METROPOLITANO</t>
  </si>
  <si>
    <t>RES. 209-DE-IPSS-93 (19.02.93).pdf</t>
  </si>
  <si>
    <t>RGR Nº1355-2018--DRA/GR (05-12-18)</t>
  </si>
  <si>
    <t>482</t>
  </si>
  <si>
    <t>00012199</t>
  </si>
  <si>
    <t>C.A.P.III</t>
  </si>
  <si>
    <t>ALTO SELVA ALEGRE</t>
  </si>
  <si>
    <t>RES. 320-PE-ESSALUD-2009 (09-07-09).pdf</t>
  </si>
  <si>
    <t>RGR Nº369-2012--DRA/GR (18-04-12)</t>
  </si>
  <si>
    <t>483</t>
  </si>
  <si>
    <t>00012200</t>
  </si>
  <si>
    <t>CERRO COLORADO</t>
  </si>
  <si>
    <t>CREADO S/FUNCIONAR</t>
  </si>
  <si>
    <t>080</t>
  </si>
  <si>
    <t>00013298</t>
  </si>
  <si>
    <t>MELITÓN SALAS TEJADA</t>
  </si>
  <si>
    <t>SOCABAYA</t>
  </si>
  <si>
    <t>RES. 138-PE-ESSALUD-2009 (20-03-09).pdf</t>
  </si>
  <si>
    <t>RGR Nº 1194-2019-DRA/GR (16-07-19)</t>
  </si>
  <si>
    <t>522</t>
  </si>
  <si>
    <t>00012201</t>
  </si>
  <si>
    <t>MIRAFLORES</t>
  </si>
  <si>
    <t>RES.523-PE-ESSALUD-2013 (14-06-13).pdf</t>
  </si>
  <si>
    <t>453</t>
  </si>
  <si>
    <t>00012194</t>
  </si>
  <si>
    <t>RES.087-PE-ESSALUD-2010 (26-02-10).pdf</t>
  </si>
  <si>
    <t>RGR Nº 1197-2019-DRA/GR (16-07-19)</t>
  </si>
  <si>
    <t>083</t>
  </si>
  <si>
    <t>433</t>
  </si>
  <si>
    <t>00013299</t>
  </si>
  <si>
    <t>APLAO</t>
  </si>
  <si>
    <t>RES. 426-PE-ESSALUD-2006 (20-07-06).pdf</t>
  </si>
  <si>
    <t>RGR Nº887-2019-DRA/GR</t>
  </si>
  <si>
    <t>094</t>
  </si>
  <si>
    <t>00013309</t>
  </si>
  <si>
    <t>HUNTER</t>
  </si>
  <si>
    <t>JACOBO HUNTER</t>
  </si>
  <si>
    <t>Res 137-PE-2009 CAP II Hunter.pdf</t>
  </si>
  <si>
    <t>082</t>
  </si>
  <si>
    <t>00012195</t>
  </si>
  <si>
    <t>ACARÍ</t>
  </si>
  <si>
    <t>CARAVELÍ</t>
  </si>
  <si>
    <t>RGR Nº 822-2019-DRA/GR (17-05-19)</t>
  </si>
  <si>
    <t>084</t>
  </si>
  <si>
    <t>00012197</t>
  </si>
  <si>
    <t>ATICO</t>
  </si>
  <si>
    <t>RGR Nº 819-2019-DRA/GR (17-05-19)</t>
  </si>
  <si>
    <t>085</t>
  </si>
  <si>
    <t>00012196</t>
  </si>
  <si>
    <t>RGRS Nº1852-2019--GRA/GRS/GR-DESP (13-12-19)</t>
  </si>
  <si>
    <t>086</t>
  </si>
  <si>
    <t>00012198</t>
  </si>
  <si>
    <t>CHALA</t>
  </si>
  <si>
    <t>RGR Nº 1853-2019-GRA/GRS/GR-DESP (13-12-19)</t>
  </si>
  <si>
    <t>088</t>
  </si>
  <si>
    <t>00012193</t>
  </si>
  <si>
    <t>CHUCARAPI</t>
  </si>
  <si>
    <t>COCRACHACRA</t>
  </si>
  <si>
    <t>RGR Nº 601-2019-DRA/GR (22-04-19)</t>
  </si>
  <si>
    <t>089</t>
  </si>
  <si>
    <t>00013310</t>
  </si>
  <si>
    <t>CHUQUIBAMBA</t>
  </si>
  <si>
    <t>CONDESUYOS</t>
  </si>
  <si>
    <t>090</t>
  </si>
  <si>
    <t>00013293</t>
  </si>
  <si>
    <t>CONO NORTE</t>
  </si>
  <si>
    <t>SIN FUNCIONAR</t>
  </si>
  <si>
    <t>091</t>
  </si>
  <si>
    <t>00013300</t>
  </si>
  <si>
    <t>CORIRE</t>
  </si>
  <si>
    <t>URACA</t>
  </si>
  <si>
    <t>092</t>
  </si>
  <si>
    <t>00013301</t>
  </si>
  <si>
    <t>COTAHUASI</t>
  </si>
  <si>
    <t>LA UNIÓN</t>
  </si>
  <si>
    <t>095</t>
  </si>
  <si>
    <t>00013305</t>
  </si>
  <si>
    <t>LA JOYA</t>
  </si>
  <si>
    <t>RGR Nº825-2019-DRA/GR (17-05-19)</t>
  </si>
  <si>
    <t>096</t>
  </si>
  <si>
    <t>00012192</t>
  </si>
  <si>
    <t>MATARANI</t>
  </si>
  <si>
    <t>RGR Nº821-2019-DRA/GR (17-05-19)</t>
  </si>
  <si>
    <t>099</t>
  </si>
  <si>
    <t>00013307</t>
  </si>
  <si>
    <t>SANTA RITA</t>
  </si>
  <si>
    <t>RGR Nº826-2019-DRA/GR (17-05-19)</t>
  </si>
  <si>
    <t>100</t>
  </si>
  <si>
    <t>00013306</t>
  </si>
  <si>
    <t>VÍTOR</t>
  </si>
  <si>
    <t>VITOR</t>
  </si>
  <si>
    <t>RGR Nº824-2019-DRA/GR (17-05-19)</t>
  </si>
  <si>
    <t>097</t>
  </si>
  <si>
    <t>00013304</t>
  </si>
  <si>
    <t>EL PEDREGAL</t>
  </si>
  <si>
    <t>CAILLOMA</t>
  </si>
  <si>
    <t>LLUTA</t>
  </si>
  <si>
    <t>RES.140-PE-ESSALUD-2009 (20-03-09).pdf</t>
  </si>
  <si>
    <t>RGR Nº832-2019-DRA/GR (17-05-19)</t>
  </si>
  <si>
    <t>087</t>
  </si>
  <si>
    <t>00013292</t>
  </si>
  <si>
    <t>CHIVAY</t>
  </si>
  <si>
    <t>CAYLLOMA</t>
  </si>
  <si>
    <t>RGR Nº820-2019-DRA/GR (17-05-19)</t>
  </si>
  <si>
    <t>101</t>
  </si>
  <si>
    <t>00013294</t>
  </si>
  <si>
    <t>YURA</t>
  </si>
  <si>
    <t>RES.686-PE-ESSALUD-2013 (27-08-13).pdf</t>
  </si>
  <si>
    <t>RED ASISTENCIAL AYACUCHO</t>
  </si>
  <si>
    <t>102</t>
  </si>
  <si>
    <t>00011775</t>
  </si>
  <si>
    <t>HUAMANGA "CARLOS TUPPIA GARCIA GODOS"</t>
  </si>
  <si>
    <t>AYACUCHO</t>
  </si>
  <si>
    <t>HUAMANGA</t>
  </si>
  <si>
    <t>SAN JUAN BAUTISTA</t>
  </si>
  <si>
    <t>RES. 487-PE-ESSALUD-2011 (06-07-11).pdf</t>
  </si>
  <si>
    <t>780-2018-GRA/DIRESA/DR</t>
  </si>
  <si>
    <t>449</t>
  </si>
  <si>
    <t>00011465</t>
  </si>
  <si>
    <t>RES. 337-PE-ESSALUD-2008 (10-07-08).pdf</t>
  </si>
  <si>
    <t>778-2018-GRA/DIRESA/DR</t>
  </si>
  <si>
    <t>103</t>
  </si>
  <si>
    <t>00011446</t>
  </si>
  <si>
    <t>HUANTA</t>
  </si>
  <si>
    <t>RES. 136-PE-ESSALUD-2009 (20-03-09).pdf</t>
  </si>
  <si>
    <t>855-2019-GRA/GG-GRDS-DIRESA-DR</t>
  </si>
  <si>
    <t>105</t>
  </si>
  <si>
    <t>00011444</t>
  </si>
  <si>
    <t>CANGALLO</t>
  </si>
  <si>
    <t>1143-2018-GRA/DIRESA/DR</t>
  </si>
  <si>
    <t>428</t>
  </si>
  <si>
    <t>00011433</t>
  </si>
  <si>
    <t>HUANCAPI</t>
  </si>
  <si>
    <t>VÍCTOR FAJARDO</t>
  </si>
  <si>
    <t>RES. 537-PE-ESSALUD-2004 (16-06-04).pdf</t>
  </si>
  <si>
    <t>423</t>
  </si>
  <si>
    <t>00011434</t>
  </si>
  <si>
    <t>QUEROBAMBA</t>
  </si>
  <si>
    <t>SUCRE</t>
  </si>
  <si>
    <t>RES. 075-PE-ESSALUD-2002 (11-03-02).pdf</t>
  </si>
  <si>
    <t>109</t>
  </si>
  <si>
    <t>00011445</t>
  </si>
  <si>
    <t>SAN FRANCISCO</t>
  </si>
  <si>
    <t>LA MAR</t>
  </si>
  <si>
    <t>AYNAS</t>
  </si>
  <si>
    <t>104</t>
  </si>
  <si>
    <t>00011432</t>
  </si>
  <si>
    <t>SAN MIGUEL</t>
  </si>
  <si>
    <t>110</t>
  </si>
  <si>
    <t>00011435</t>
  </si>
  <si>
    <t>VILCASHUAMÁN</t>
  </si>
  <si>
    <t>425</t>
  </si>
  <si>
    <t>00011440</t>
  </si>
  <si>
    <t>HUANCASANCOS</t>
  </si>
  <si>
    <t>SANCOS</t>
  </si>
  <si>
    <t>RES. 131-PE-ESSALUD-2009 (20-03-09).pdf</t>
  </si>
  <si>
    <t>RED ASISTENCIAL CAJAMARCA</t>
  </si>
  <si>
    <t>191</t>
  </si>
  <si>
    <t>00010272</t>
  </si>
  <si>
    <t>CAJAMARCA</t>
  </si>
  <si>
    <t>RES. 094-PE-ESSALUD-1999 (22-01-99).pdf</t>
  </si>
  <si>
    <t>RDRS Nº 1997-2019-GR.CAJ/DRS-DESP (02-12-19)</t>
  </si>
  <si>
    <t>192</t>
  </si>
  <si>
    <t>00010278</t>
  </si>
  <si>
    <t>CAJABAMBA</t>
  </si>
  <si>
    <t>RD Nº 1533-2018-GR.CAJ/DRS-DESP (13-11-18)</t>
  </si>
  <si>
    <t>193</t>
  </si>
  <si>
    <t>00010269</t>
  </si>
  <si>
    <t>CELENDÍN</t>
  </si>
  <si>
    <t>501</t>
  </si>
  <si>
    <t>00010821</t>
  </si>
  <si>
    <t>LOS BAÑOS DEL INCA</t>
  </si>
  <si>
    <t>LLACANORA</t>
  </si>
  <si>
    <t>RES. 227-PE-ESSALUD-2010 (24-05-10).pdf</t>
  </si>
  <si>
    <t>196</t>
  </si>
  <si>
    <t>00010277</t>
  </si>
  <si>
    <t>BAMBAMARCA</t>
  </si>
  <si>
    <t>HUALGAYOC</t>
  </si>
  <si>
    <t>RD Nº 1412-20184-GR.CAJ/DRS-DESP (25-10-18)</t>
  </si>
  <si>
    <t>216</t>
  </si>
  <si>
    <t>999</t>
  </si>
  <si>
    <t>BOLÍVAR</t>
  </si>
  <si>
    <t>LA LIBERTAD</t>
  </si>
  <si>
    <t>RES. 601-GG-IPSS-96 (03-04-96)</t>
  </si>
  <si>
    <t>RGR Nº 2580-2018-GR-LL-GGR-GRSS (05-12-18)</t>
  </si>
  <si>
    <t>198</t>
  </si>
  <si>
    <t>00010276</t>
  </si>
  <si>
    <t>CONTUMAZÁ</t>
  </si>
  <si>
    <t>201</t>
  </si>
  <si>
    <t>00010275</t>
  </si>
  <si>
    <t>SAN MARCOS</t>
  </si>
  <si>
    <t>PEDRO GÁLVEZ</t>
  </si>
  <si>
    <t>202</t>
  </si>
  <si>
    <t>00010273</t>
  </si>
  <si>
    <t>RD Nº 1468-2018-GR.CAJ/DRS-DESP (06-11-18)</t>
  </si>
  <si>
    <t>203</t>
  </si>
  <si>
    <t>00010271</t>
  </si>
  <si>
    <t>SAN PABLO</t>
  </si>
  <si>
    <t>204</t>
  </si>
  <si>
    <t>00010274</t>
  </si>
  <si>
    <t>TEMBLADERA</t>
  </si>
  <si>
    <t>YONÁN</t>
  </si>
  <si>
    <t>199</t>
  </si>
  <si>
    <t>00010270</t>
  </si>
  <si>
    <t>RES. 397-PE-ESSALUD-2011 (02-06-11).pdf</t>
  </si>
  <si>
    <t>RD Nº 1411-2018-GR.CAJ/DRS-DESP (25-10-18)</t>
  </si>
  <si>
    <t>RED ASISTENCIAL CUSCO</t>
  </si>
  <si>
    <t>111</t>
  </si>
  <si>
    <t>00010041</t>
  </si>
  <si>
    <t>ADOLFO GUEVARA VELASCO</t>
  </si>
  <si>
    <t>CUSCO</t>
  </si>
  <si>
    <t>RES. 543-PE-ESSALUD-2007 (23-11-07).pdf</t>
  </si>
  <si>
    <t>2263-2018-DRSC/DGDPH</t>
  </si>
  <si>
    <t>112</t>
  </si>
  <si>
    <t>00010061</t>
  </si>
  <si>
    <t>ESPINAR</t>
  </si>
  <si>
    <t>RES. 006-88 CDIF Integración MINSA/ESSALUD</t>
  </si>
  <si>
    <t>02021-2014-DRSC/DGDPH</t>
  </si>
  <si>
    <t>113</t>
  </si>
  <si>
    <t>00010062</t>
  </si>
  <si>
    <t>QUILLABAMBA</t>
  </si>
  <si>
    <t>LA CONVENCIÓN</t>
  </si>
  <si>
    <t>SANTA ANA</t>
  </si>
  <si>
    <t>01850-2014-DRSC/DGDPH</t>
  </si>
  <si>
    <t>115</t>
  </si>
  <si>
    <t>00010063</t>
  </si>
  <si>
    <t>SICUANI</t>
  </si>
  <si>
    <t>CANCHIS</t>
  </si>
  <si>
    <t>RES. 331-PE-ESSALUD-2016 (08-07-16).pdf</t>
  </si>
  <si>
    <t>0071-2020-DRSC/DGRH</t>
  </si>
  <si>
    <t>114</t>
  </si>
  <si>
    <t>00010060</t>
  </si>
  <si>
    <t>URUBAMBA</t>
  </si>
  <si>
    <t>01691-2019-DRSC/DGDPH</t>
  </si>
  <si>
    <t>126</t>
  </si>
  <si>
    <t>00010065</t>
  </si>
  <si>
    <t>SAN SEBASTIÁN</t>
  </si>
  <si>
    <t>RES. 209-PE-ESSALUD-2001 (27-04-01).pdf</t>
  </si>
  <si>
    <t>416-2019-DRSC/DGDPH</t>
  </si>
  <si>
    <t>116</t>
  </si>
  <si>
    <t>00010076</t>
  </si>
  <si>
    <t>ACOMAYO</t>
  </si>
  <si>
    <t>015535-20149-DRSC/DGDPH</t>
  </si>
  <si>
    <t>118</t>
  </si>
  <si>
    <t>00010069</t>
  </si>
  <si>
    <t>CALCA</t>
  </si>
  <si>
    <t>01226-2019-DRSC/DGDPH</t>
  </si>
  <si>
    <t>121</t>
  </si>
  <si>
    <t>00010073</t>
  </si>
  <si>
    <t>MACHU PICCHU</t>
  </si>
  <si>
    <t>RES. 870-PE-ESSALUD-1999 (22-09-99).pdf</t>
  </si>
  <si>
    <t>0177-2020-DRSC/OGRH</t>
  </si>
  <si>
    <t>418</t>
  </si>
  <si>
    <t>417</t>
  </si>
  <si>
    <t>00010066</t>
  </si>
  <si>
    <t>RES. 262-PE-ESSALUD-2000 (11-09-00).pdf</t>
  </si>
  <si>
    <t>217-2019-DRSC/DGDPH</t>
  </si>
  <si>
    <t>123</t>
  </si>
  <si>
    <t>00010077</t>
  </si>
  <si>
    <t>PAUCARTAMBO</t>
  </si>
  <si>
    <t>0069-2020-DRSC/DGRH</t>
  </si>
  <si>
    <t>698</t>
  </si>
  <si>
    <t>00027948</t>
  </si>
  <si>
    <t>PICHARI</t>
  </si>
  <si>
    <t>RES. 903-PE-ESSALUD-2017 (00-00-17).pdf</t>
  </si>
  <si>
    <t>0175-2020-DRSC/DGRH</t>
  </si>
  <si>
    <t>373</t>
  </si>
  <si>
    <t>00010067</t>
  </si>
  <si>
    <t>SANTIAGO</t>
  </si>
  <si>
    <t>RES. 059-GRACU-ESSALUD-2001 (16-03-01).pdf</t>
  </si>
  <si>
    <t>417-2019-DRSC/DGDPH</t>
  </si>
  <si>
    <t>119</t>
  </si>
  <si>
    <t>00010068</t>
  </si>
  <si>
    <t>URCOS</t>
  </si>
  <si>
    <t>QUISPICANCHIS</t>
  </si>
  <si>
    <t>415-2019-DRSC/DGDPH</t>
  </si>
  <si>
    <t>120</t>
  </si>
  <si>
    <t>00010075</t>
  </si>
  <si>
    <t>HUYRO</t>
  </si>
  <si>
    <t>RES. 463-PE-ESSALUD-2012 (25-05-12).pdf</t>
  </si>
  <si>
    <t>0068-2020-DRSC/DGRH</t>
  </si>
  <si>
    <t>134</t>
  </si>
  <si>
    <t>00014339</t>
  </si>
  <si>
    <t>SALVACIÓN</t>
  </si>
  <si>
    <t>MADRE DE DIOS</t>
  </si>
  <si>
    <t>MANU</t>
  </si>
  <si>
    <t>RES. 194-PE-ESSALUD-1999 (17-02-99).pdf</t>
  </si>
  <si>
    <t>604-2018-GOREMAD/DRS-DG</t>
  </si>
  <si>
    <t>513</t>
  </si>
  <si>
    <t>00014531</t>
  </si>
  <si>
    <t>ECHARATE</t>
  </si>
  <si>
    <t>RES. 428-PE-ESSALUD-2011 (10-06-11).pdf</t>
  </si>
  <si>
    <t>01883-2019-DRSC/DGDPH</t>
  </si>
  <si>
    <t>510</t>
  </si>
  <si>
    <t>00013185</t>
  </si>
  <si>
    <t>SANTO TOMAS</t>
  </si>
  <si>
    <t>CHUMBIVILCAS</t>
  </si>
  <si>
    <t>RES. 270-PE-ESSALUD-2011 (04-04-11).pdf</t>
  </si>
  <si>
    <t>01227-2019-DRSC/DGDPH</t>
  </si>
  <si>
    <t>RED ASISTENCIAL HUANCAVELICA</t>
  </si>
  <si>
    <t>342</t>
  </si>
  <si>
    <t>00009132</t>
  </si>
  <si>
    <t>HUANCAVELICA</t>
  </si>
  <si>
    <t>ASCENSIÓN</t>
  </si>
  <si>
    <t>RES. 095-PE-IPSS-1999 (22-01-99).pdf</t>
  </si>
  <si>
    <t>RD Nº 1512-2019/GOB.REG-HVCA/DIRESA (16-12-19)</t>
  </si>
  <si>
    <t>347</t>
  </si>
  <si>
    <t>00009135</t>
  </si>
  <si>
    <t>LIRCAY</t>
  </si>
  <si>
    <t>ANGARAES</t>
  </si>
  <si>
    <t>RES. 099-PE-IPSS-1999 (22-01-99).pdf</t>
  </si>
  <si>
    <t>RD Nº 1021-2018/GOB.REG-HVCA/DIRESA (27-08-18)</t>
  </si>
  <si>
    <t>348</t>
  </si>
  <si>
    <t>00009133</t>
  </si>
  <si>
    <t>TAYACAJA</t>
  </si>
  <si>
    <t>RES. 100-PE-IPSS-1999 (22-01-99).pdf</t>
  </si>
  <si>
    <t>RD Nº 1024-2018/GOB.REG-HVCA/DIRESA (27-08-18)</t>
  </si>
  <si>
    <t>343</t>
  </si>
  <si>
    <t>00009137</t>
  </si>
  <si>
    <t>ACOBAMBA</t>
  </si>
  <si>
    <t>RD Nº 1022-2018/GOB.REG-HVCA/DIRESA (27-08-18)</t>
  </si>
  <si>
    <t>344</t>
  </si>
  <si>
    <t>00009136</t>
  </si>
  <si>
    <t>CASTROVIRREYNA</t>
  </si>
  <si>
    <t>RD Nº 1025-2018/GOB.REG-HVCA/DIRESA (27-08-18)</t>
  </si>
  <si>
    <t>345</t>
  </si>
  <si>
    <t>00009140</t>
  </si>
  <si>
    <t>CHURCAMPA</t>
  </si>
  <si>
    <t>RES. 133-PE-ESSALUD-2009 (20-03-09).pdf</t>
  </si>
  <si>
    <t>RD Nº 1026-2018/GOB.REG-HVCA/DIRESA (27-08-18)</t>
  </si>
  <si>
    <t>346</t>
  </si>
  <si>
    <t>00009139</t>
  </si>
  <si>
    <t>HUAYTARÁ</t>
  </si>
  <si>
    <t>RD Nº 1023-2018/GOB.REG-HVCA/DIRESA (27-08-18)</t>
  </si>
  <si>
    <t>RED ASISTENCIAL HUÁNUCO</t>
  </si>
  <si>
    <t>296</t>
  </si>
  <si>
    <t>00010571</t>
  </si>
  <si>
    <t>HUÁNUCO</t>
  </si>
  <si>
    <t>AMARILIS</t>
  </si>
  <si>
    <t>RES. 1431-GG-IPSS-1996 (02-09-96).pdf</t>
  </si>
  <si>
    <t>R.D.N°208-2020-GRH/GDS-DRS-DG-DESP-DSS (02/03/2020)</t>
  </si>
  <si>
    <t>297</t>
  </si>
  <si>
    <t>00009180</t>
  </si>
  <si>
    <t>TINGO MARÍA</t>
  </si>
  <si>
    <t>LEONCIO PRADO</t>
  </si>
  <si>
    <t>RUPA RUPA</t>
  </si>
  <si>
    <t>475</t>
  </si>
  <si>
    <t>00018081</t>
  </si>
  <si>
    <t>METROPOLITANO DE HUÁNUCO</t>
  </si>
  <si>
    <t>RES. 253-PE-ESSALUD-2009 (04-06-09).pdf</t>
  </si>
  <si>
    <t>RD N°1926- 2019-GRH-DIRESA-DESP-DSS-C. (05-12-19)</t>
  </si>
  <si>
    <t>771</t>
  </si>
  <si>
    <t>AMARILIS PILCO-MARCA</t>
  </si>
  <si>
    <t>RES_728-PE-ESSALUD-2021.pdf</t>
  </si>
  <si>
    <t>298</t>
  </si>
  <si>
    <t>00009957</t>
  </si>
  <si>
    <t>AMBO</t>
  </si>
  <si>
    <t>RD N°1925- 2019-GRH-DIRESA-DESP-DSS-C. (05-12-19)</t>
  </si>
  <si>
    <t>299</t>
  </si>
  <si>
    <t>00009951</t>
  </si>
  <si>
    <t>AUCAYACU</t>
  </si>
  <si>
    <t>JOSÉ CRESPO Y CASTILLO</t>
  </si>
  <si>
    <t>RD N°1448- 2019-GRH-DIRESA-DESP-DSS-C. (11.09.2019)</t>
  </si>
  <si>
    <t>300</t>
  </si>
  <si>
    <t>00010567</t>
  </si>
  <si>
    <t>BAÑOS</t>
  </si>
  <si>
    <t>LAURICOCHA</t>
  </si>
  <si>
    <t>RD N°1449- 2019-GRH-DIRESA-DESP-DSS-C. (11.09.2019)</t>
  </si>
  <si>
    <t>303</t>
  </si>
  <si>
    <t>00010181</t>
  </si>
  <si>
    <t>DOS DE MAYO</t>
  </si>
  <si>
    <t>LA UNION</t>
  </si>
  <si>
    <t>RD N°1447- 2019-GRH-DIRESA-DESP-DSS-C. (11.09.2019)</t>
  </si>
  <si>
    <t>304</t>
  </si>
  <si>
    <t>00009956</t>
  </si>
  <si>
    <t>LLATA</t>
  </si>
  <si>
    <t>HUMALIES</t>
  </si>
  <si>
    <t>RD N°1923- 2019-GRH-DIRESA-DESP-DSS-C. (05-12-19)</t>
  </si>
  <si>
    <t>305</t>
  </si>
  <si>
    <t>00009958</t>
  </si>
  <si>
    <t>PANAO</t>
  </si>
  <si>
    <t>PACHITEA</t>
  </si>
  <si>
    <t>RD N°1924- 2019-GRH-DIRESA-DESP-DSS-C. (05-12-19)</t>
  </si>
  <si>
    <t>426</t>
  </si>
  <si>
    <t>400</t>
  </si>
  <si>
    <t>00010702</t>
  </si>
  <si>
    <t>SANTA LUCÍA</t>
  </si>
  <si>
    <t>SAN MARTÍN</t>
  </si>
  <si>
    <t>TOCACHE</t>
  </si>
  <si>
    <t>UCHIZA</t>
  </si>
  <si>
    <t>RES. 090-PE-IPSS-98 (14-07-98)</t>
  </si>
  <si>
    <t>RD Nº 746-2019-GRSM/DIRESA-SM/DIREFISSA (19-12-19)</t>
  </si>
  <si>
    <t>302</t>
  </si>
  <si>
    <t>00009953</t>
  </si>
  <si>
    <t>SÚNGARO</t>
  </si>
  <si>
    <t>PUERTO INCA</t>
  </si>
  <si>
    <t>RD N°1150- 2019-GRH-DIRESA-DESP-DSS-C. (11.09.2019)</t>
  </si>
  <si>
    <t>290</t>
  </si>
  <si>
    <t>00010703</t>
  </si>
  <si>
    <t>RD Nº 743-2019-GRSM/DIRESA-SM/DIREFISSA (19-12-19)</t>
  </si>
  <si>
    <t>291</t>
  </si>
  <si>
    <t>00010704</t>
  </si>
  <si>
    <t>RES. 295-PE-ESSALUD-2011 (14-04-11).pdf</t>
  </si>
  <si>
    <t>RD Nº 745-2019-GRSM/DIRESA-SM/DIREFISSA (19-12-19)</t>
  </si>
  <si>
    <t xml:space="preserve">RED ASISTENCIAL HUARAZ </t>
  </si>
  <si>
    <t>162</t>
  </si>
  <si>
    <t>00009053</t>
  </si>
  <si>
    <t>HUARAZ</t>
  </si>
  <si>
    <t>RES. 093-GG-IPSS-1999 (22-01-1999).pdf</t>
  </si>
  <si>
    <t>R.A. Nº235-2024/GRA/GRDS/DESI</t>
  </si>
  <si>
    <t>163</t>
  </si>
  <si>
    <t>00009920</t>
  </si>
  <si>
    <t>CARAZ</t>
  </si>
  <si>
    <t>HUAYLAS</t>
  </si>
  <si>
    <t>R.A.N°0202-2020REGION-A-DIRES/DGDRH</t>
  </si>
  <si>
    <t>164</t>
  </si>
  <si>
    <t>00009060</t>
  </si>
  <si>
    <t>CARHUAZ</t>
  </si>
  <si>
    <t xml:space="preserve">011-2020-REGION-A-DIRES/DGDRH </t>
  </si>
  <si>
    <t>168</t>
  </si>
  <si>
    <t>00009204</t>
  </si>
  <si>
    <t>HUARI</t>
  </si>
  <si>
    <t>R.A.N°0203-2020REGION-A-DIRES/DGDRH</t>
  </si>
  <si>
    <t>181</t>
  </si>
  <si>
    <t>00009922</t>
  </si>
  <si>
    <t>POMABAMBA</t>
  </si>
  <si>
    <t>RES. 878-PE-ESSALUD-2018 (18-10-2018).pdf</t>
  </si>
  <si>
    <t>R.A.N°0205-2020REGION-A-DIRES/DGDRH</t>
  </si>
  <si>
    <t>179</t>
  </si>
  <si>
    <t>00009926</t>
  </si>
  <si>
    <t>PISCOBAMBA</t>
  </si>
  <si>
    <t>MCAL.LUZURIAGA</t>
  </si>
  <si>
    <t>R.A.N°0201-2020REGION-A-DIRES/DGDRH</t>
  </si>
  <si>
    <t>190</t>
  </si>
  <si>
    <t>00009923</t>
  </si>
  <si>
    <t>YUNGAY</t>
  </si>
  <si>
    <t>RES. 645-GG-IPSS-96 (15-04-96)</t>
  </si>
  <si>
    <t>R.A.N°0204-2020REGION-A-DIRES/DGDRH</t>
  </si>
  <si>
    <t>RED ASISTENCIAL ICA</t>
  </si>
  <si>
    <t>506</t>
  </si>
  <si>
    <t>854</t>
  </si>
  <si>
    <t>00016374</t>
  </si>
  <si>
    <t>H.IV</t>
  </si>
  <si>
    <t>AUGUSTO HERNANDEZ MENDOZA</t>
  </si>
  <si>
    <t>ICA</t>
  </si>
  <si>
    <t>RES. 019-PE-ESSALUD-2011 (11-01-11).pdf</t>
  </si>
  <si>
    <t>RD Nº 2079-2018-GORE-ICA-DRSA-DESP-DSS (31-11-18)</t>
  </si>
  <si>
    <t>046</t>
  </si>
  <si>
    <t>00013910</t>
  </si>
  <si>
    <t>RENÉ TOCHE GROPPO</t>
  </si>
  <si>
    <t>CHINCHA</t>
  </si>
  <si>
    <t>CHINCHA ALTA</t>
  </si>
  <si>
    <t>RES. 083-PE-ESSALUD-2000 (30-03-00).pdf</t>
  </si>
  <si>
    <t>RD Nº 2109-2018-GORE-ICA-DRSA-DESP-DSS (31/12/18)</t>
  </si>
  <si>
    <t>048</t>
  </si>
  <si>
    <t>00014147</t>
  </si>
  <si>
    <t>ANTONIO SKRABONJA ANTONCICH</t>
  </si>
  <si>
    <t>PISCO</t>
  </si>
  <si>
    <t>RD Nº 1535-2019-GORE-ICA-DRSA-DESP-DSS (09-10-19)</t>
  </si>
  <si>
    <t>045</t>
  </si>
  <si>
    <t>00013912</t>
  </si>
  <si>
    <t>FÉLIX TORREALVA GUTIÉRREZ</t>
  </si>
  <si>
    <t>RES. 218-PE-ESSALUD-2011 (11-03-11).pdf</t>
  </si>
  <si>
    <t>RD Nº 1068-2018-GORE-ICA-DRSA-DESP-DSS (31-12-18)</t>
  </si>
  <si>
    <t>047</t>
  </si>
  <si>
    <t>00013911</t>
  </si>
  <si>
    <t>MARÍA REICHE NEUMAN</t>
  </si>
  <si>
    <t>NAZCA</t>
  </si>
  <si>
    <t>MARCONA</t>
  </si>
  <si>
    <t>RES. 210-DE-IPSS-93</t>
  </si>
  <si>
    <t>RDR Nº 0015-2017-GORE-ICA-DRSA-DESP-DSS</t>
  </si>
  <si>
    <t>371</t>
  </si>
  <si>
    <t>841</t>
  </si>
  <si>
    <t>00012024</t>
  </si>
  <si>
    <t>LA TINGUIÑA</t>
  </si>
  <si>
    <t>RES. 439-PE-ESSALUD-2011 (17-06-11).pdf</t>
  </si>
  <si>
    <t>RDR Nº 1354-2017-GORE-ICA-DRSA-DESP-DSS</t>
  </si>
  <si>
    <t>052</t>
  </si>
  <si>
    <t>00011967</t>
  </si>
  <si>
    <t>MACACONA</t>
  </si>
  <si>
    <t>SUBJANTALLA</t>
  </si>
  <si>
    <t>RES. 590-PE-ESSALUD-2010 (15-11-10).pdf</t>
  </si>
  <si>
    <t>RDR Nº 1344-2017-GORE-ICA-DRSA-DESP-DSS</t>
  </si>
  <si>
    <t>053</t>
  </si>
  <si>
    <t>432</t>
  </si>
  <si>
    <t>00010429</t>
  </si>
  <si>
    <t>NASCA</t>
  </si>
  <si>
    <t>RD Nº 1613-GORE-ICA-DRSA-DESP-DSS (15/10/18)</t>
  </si>
  <si>
    <t>424</t>
  </si>
  <si>
    <t>00012277</t>
  </si>
  <si>
    <t>PUEBLO NUEVO</t>
  </si>
  <si>
    <t>RES. 560-PE-ESSALUD-2011 (25-07-11).pdf</t>
  </si>
  <si>
    <t>RD Nº 1776-GORE-ICA-DRSA-DESP-DSS (16/11/18)</t>
  </si>
  <si>
    <t>056</t>
  </si>
  <si>
    <t>846</t>
  </si>
  <si>
    <t>00011438</t>
  </si>
  <si>
    <t>PUQUIO</t>
  </si>
  <si>
    <t>LUCANAS</t>
  </si>
  <si>
    <t>RES. 034-PE-ESSALUD-2011 (11-01-11).pdf</t>
  </si>
  <si>
    <t>058</t>
  </si>
  <si>
    <t>842</t>
  </si>
  <si>
    <t>00011968</t>
  </si>
  <si>
    <t>SANTA MARGARITA</t>
  </si>
  <si>
    <t>RDR Nº 0608-2022-GORE-ICA-DRSA-DESP-DSS</t>
  </si>
  <si>
    <t>050</t>
  </si>
  <si>
    <t>00011970</t>
  </si>
  <si>
    <t>CHAVALINA</t>
  </si>
  <si>
    <t>SAN JOSÉ DE LOS MOLINOS</t>
  </si>
  <si>
    <t>RES. 513-PE-ESSALUD-2011 (14-07-11).pdf</t>
  </si>
  <si>
    <t>RD Nº 1774-GORE-ICA-DRSA-DESP-DSS (16/11/18)</t>
  </si>
  <si>
    <t>419</t>
  </si>
  <si>
    <t>832</t>
  </si>
  <si>
    <t>00011443</t>
  </si>
  <si>
    <t>CORACORA</t>
  </si>
  <si>
    <t>PARINACOCHAS</t>
  </si>
  <si>
    <t>054</t>
  </si>
  <si>
    <t>00010483</t>
  </si>
  <si>
    <t>PALPA</t>
  </si>
  <si>
    <t>RD Nº 2078-2018-GORE-ICA-DRSA-DESP-DSS (31-11-18)</t>
  </si>
  <si>
    <t>057</t>
  </si>
  <si>
    <t>00012022</t>
  </si>
  <si>
    <t>SAN CLEMENTE</t>
  </si>
  <si>
    <t>RD Nº 2228-2020-GORE-ICA-DRSA-DESP-DSS ( )</t>
  </si>
  <si>
    <t>059</t>
  </si>
  <si>
    <t>00012023</t>
  </si>
  <si>
    <t>TAMBO DE MORA</t>
  </si>
  <si>
    <t>RD Nº 0550-2018-GORE-ICA-DRSA-DESP-DSS (08/05/18)</t>
  </si>
  <si>
    <t>061</t>
  </si>
  <si>
    <t>00011969</t>
  </si>
  <si>
    <t>VILLA TÚPAC AMARU</t>
  </si>
  <si>
    <t>TÚPAC AMARU INCA</t>
  </si>
  <si>
    <t>RD Nº 0668-2018-GORE-ICA-DRSA-DESP-DSS (30/05/18)</t>
  </si>
  <si>
    <t>RED ASISTENCIAL JAEN</t>
  </si>
  <si>
    <t>245</t>
  </si>
  <si>
    <t>00010136</t>
  </si>
  <si>
    <t>JAÉN</t>
  </si>
  <si>
    <t>RES. 648-GG-IPSS-1996 (15-04-96).pdf</t>
  </si>
  <si>
    <t>1232-2014.GR.CAJ/DRS-DESP</t>
  </si>
  <si>
    <t>256</t>
  </si>
  <si>
    <t>00010299</t>
  </si>
  <si>
    <t>SAN IGNACIO</t>
  </si>
  <si>
    <t>RES. 108-PE-ESSALUD-2009 (25-02-09).pdf</t>
  </si>
  <si>
    <t>154-2018-GR.CAJ-DSRSJ-DG/OE-GD-RR.HH</t>
  </si>
  <si>
    <t>255</t>
  </si>
  <si>
    <t>00016704</t>
  </si>
  <si>
    <t>PUCARÁ</t>
  </si>
  <si>
    <t>1034-2014-GR.CAJ-DSRSJ-DG/OE-DG-RR.HH</t>
  </si>
  <si>
    <t>RED ASISTENCIAL JULIACA</t>
  </si>
  <si>
    <t>139</t>
  </si>
  <si>
    <t>00009899</t>
  </si>
  <si>
    <t>JULIACA</t>
  </si>
  <si>
    <t>PUNO</t>
  </si>
  <si>
    <t>SAN ROMAN</t>
  </si>
  <si>
    <t>RES. 466-GG-IPSS-1999 (22-04-99).pdf</t>
  </si>
  <si>
    <t>0112-2022/DRS PUNO-DESP-DSS</t>
  </si>
  <si>
    <t>141</t>
  </si>
  <si>
    <t>00009900</t>
  </si>
  <si>
    <t>LAMPA</t>
  </si>
  <si>
    <t>0110-2022/DRS PUNO-DESP-DSS</t>
  </si>
  <si>
    <t>143</t>
  </si>
  <si>
    <t>00024980</t>
  </si>
  <si>
    <t>AZÁNGARO</t>
  </si>
  <si>
    <t>RES. 128-PE-ESSALUD-2000 (08-05-00).pdf</t>
  </si>
  <si>
    <t>0655-2021/DRS PUNO-DESP-DSS</t>
  </si>
  <si>
    <t>413</t>
  </si>
  <si>
    <t>00009901</t>
  </si>
  <si>
    <t>RES. 125-PE-ESSALUD-2000 (08-05-00).pdf</t>
  </si>
  <si>
    <t>0654-2021/DRS PUNO-DESP-DSS</t>
  </si>
  <si>
    <t>519</t>
  </si>
  <si>
    <t>00024259</t>
  </si>
  <si>
    <t>ENRIQUE ENCINAS FRANCO</t>
  </si>
  <si>
    <t>RES. 673-PE-ESSALUD-2012 (13-05-12).pdf</t>
  </si>
  <si>
    <t>RD N° 322-2020/DRS-PUNO-DESP-DSS</t>
  </si>
  <si>
    <t>142</t>
  </si>
  <si>
    <t>434</t>
  </si>
  <si>
    <t>00024981</t>
  </si>
  <si>
    <t>AYAVIRI</t>
  </si>
  <si>
    <t>MELGAR</t>
  </si>
  <si>
    <t>RES. 307-PE-ESSALUD-2006 (23-05-06).pdf</t>
  </si>
  <si>
    <t>0652-2021/DRS PUNO-DESP-DSS</t>
  </si>
  <si>
    <t>491</t>
  </si>
  <si>
    <t>00024999</t>
  </si>
  <si>
    <t>CABANILLAS</t>
  </si>
  <si>
    <t>RES. 059-PE-ESSALUD-2010 (03-02-10).pdf</t>
  </si>
  <si>
    <t>0653-2021/DRS PUNO-DESP-DSS</t>
  </si>
  <si>
    <t>144</t>
  </si>
  <si>
    <t>00009895</t>
  </si>
  <si>
    <t>HUANCANÉ</t>
  </si>
  <si>
    <t>0648-2021/DRS PUNO-DESP-DSS</t>
  </si>
  <si>
    <t>420</t>
  </si>
  <si>
    <t>390</t>
  </si>
  <si>
    <t>00009896</t>
  </si>
  <si>
    <t>SAN  GABÁN</t>
  </si>
  <si>
    <t>CARABAYA</t>
  </si>
  <si>
    <t>MACUSANI</t>
  </si>
  <si>
    <t>0650-2021/DRS PUNO-DESP-DSS</t>
  </si>
  <si>
    <t>146</t>
  </si>
  <si>
    <t>00009898</t>
  </si>
  <si>
    <t>SAN RAFAEL</t>
  </si>
  <si>
    <t>ANTAUTA</t>
  </si>
  <si>
    <t>0656-2021/DRS PUNO-DESP-DSS</t>
  </si>
  <si>
    <t>147</t>
  </si>
  <si>
    <t>00009897</t>
  </si>
  <si>
    <t>SANDIA</t>
  </si>
  <si>
    <t>0649-2021/DRS PUNO-DESP-DSS</t>
  </si>
  <si>
    <t>490</t>
  </si>
  <si>
    <t>00015849</t>
  </si>
  <si>
    <t>ASILLO</t>
  </si>
  <si>
    <t xml:space="preserve">AZANGARO </t>
  </si>
  <si>
    <t>0651-2021/DRS PUNO-DESP-DSS</t>
  </si>
  <si>
    <t>RED ASISTENCIAL JUNÍN</t>
  </si>
  <si>
    <t>307</t>
  </si>
  <si>
    <t>00008652</t>
  </si>
  <si>
    <t>RAMIRO PRIALÉ PRIALÉ</t>
  </si>
  <si>
    <t>JUNÍN</t>
  </si>
  <si>
    <t>HUANCAYO</t>
  </si>
  <si>
    <t>EL TAMBO</t>
  </si>
  <si>
    <t>RES. 316-PE-ESSALUD-2011 (20-04-11).pdf</t>
  </si>
  <si>
    <t>1005-2019-DRSJ/OEGDRH</t>
  </si>
  <si>
    <t>308</t>
  </si>
  <si>
    <t>00008653</t>
  </si>
  <si>
    <t>ALBERTO HURTADO ABADIA</t>
  </si>
  <si>
    <t>YAULI</t>
  </si>
  <si>
    <t>LA OROYA</t>
  </si>
  <si>
    <t>RES. 522-PE-ESSALUD-2001 (07-12-01).pdf</t>
  </si>
  <si>
    <t>214-2018-DRSJ/DESP</t>
  </si>
  <si>
    <t>313</t>
  </si>
  <si>
    <t>00008656</t>
  </si>
  <si>
    <t>HOSPITAL DE LA SELVA CENTRAL Y ENFERMEDADES TROPICALES HUGO PESCE PESCETTO</t>
  </si>
  <si>
    <t>CHANCHAMAYO</t>
  </si>
  <si>
    <t>RES. 246-PE-ESSALUD-2012 (13-02-12).pdf</t>
  </si>
  <si>
    <t>323-2018-DRSJ/DESP</t>
  </si>
  <si>
    <t>309</t>
  </si>
  <si>
    <t>00008658</t>
  </si>
  <si>
    <t>RÍO NEGRO - SATIPO</t>
  </si>
  <si>
    <t>SATIPO</t>
  </si>
  <si>
    <t>RES. 133-PE-ESSALUD-2000 (11-05-00).pdf</t>
  </si>
  <si>
    <t>267-2018-DRSJ/DESP</t>
  </si>
  <si>
    <t>310</t>
  </si>
  <si>
    <t>00008654</t>
  </si>
  <si>
    <t>TARMA</t>
  </si>
  <si>
    <t>213-2018-DRSJ/DESP</t>
  </si>
  <si>
    <t>311</t>
  </si>
  <si>
    <t>00008667</t>
  </si>
  <si>
    <t>JAUJA</t>
  </si>
  <si>
    <t>271-2018-DRSJ/DESP</t>
  </si>
  <si>
    <t>431</t>
  </si>
  <si>
    <t>834</t>
  </si>
  <si>
    <t>00008660</t>
  </si>
  <si>
    <t>METROPOLITANO HUANCAYO</t>
  </si>
  <si>
    <t>RES.015-PE-ESSALUD-2008 (16-01-08).pdf</t>
  </si>
  <si>
    <t>330-2018-DRSJ/OEGDRH</t>
  </si>
  <si>
    <t>494</t>
  </si>
  <si>
    <t>00012190</t>
  </si>
  <si>
    <t>MANTARO</t>
  </si>
  <si>
    <t>RES. 359-PE-ESSALUD-2009 (07-08-09).pdf</t>
  </si>
  <si>
    <t>294-2018-DRSJ/DESP</t>
  </si>
  <si>
    <t>312</t>
  </si>
  <si>
    <t>317</t>
  </si>
  <si>
    <t>00008668</t>
  </si>
  <si>
    <t>CONCEPCIÓN</t>
  </si>
  <si>
    <t>262-2018-DRSJ/DESP</t>
  </si>
  <si>
    <t>454</t>
  </si>
  <si>
    <t>00012188</t>
  </si>
  <si>
    <t>CHILCA</t>
  </si>
  <si>
    <t>RES. 088-PE-ESSALUD-2010 (26-02-10).pdf</t>
  </si>
  <si>
    <t>289-2018-DRSJ/DESP</t>
  </si>
  <si>
    <t>504</t>
  </si>
  <si>
    <t>853</t>
  </si>
  <si>
    <t>00012191</t>
  </si>
  <si>
    <t>CHUPACA</t>
  </si>
  <si>
    <t>RES. 522-PE-ESSALUD-2010 (20-10-10).pdf</t>
  </si>
  <si>
    <t>261-2018-DRSJ/DESP</t>
  </si>
  <si>
    <t>00008672</t>
  </si>
  <si>
    <t>RES. 455-PE-ESSALUD-2011 (24-06-11).pdf</t>
  </si>
  <si>
    <t>102-2018-DRSJ/DESP</t>
  </si>
  <si>
    <t>320</t>
  </si>
  <si>
    <t>00008674</t>
  </si>
  <si>
    <t>MOROCOCHA</t>
  </si>
  <si>
    <t>RES. 643-PE-ESSALUD-2013 (26-07-10).pdf</t>
  </si>
  <si>
    <t>101-2018-DRSJ/DESP</t>
  </si>
  <si>
    <t>314</t>
  </si>
  <si>
    <t>00008669</t>
  </si>
  <si>
    <t>ANDAYCHAGUA</t>
  </si>
  <si>
    <t>HUAY-HUAY</t>
  </si>
  <si>
    <t>100-2018-DRSJ/DESP</t>
  </si>
  <si>
    <t>315</t>
  </si>
  <si>
    <t>00009119</t>
  </si>
  <si>
    <t>COBRIZA</t>
  </si>
  <si>
    <t>SAN PEDRO DE CORIS</t>
  </si>
  <si>
    <t>210-2019-DRSJ/OEGDRH</t>
  </si>
  <si>
    <t>316</t>
  </si>
  <si>
    <t>00008670</t>
  </si>
  <si>
    <t>CORPACANCHA</t>
  </si>
  <si>
    <t>SANTA BARBARA</t>
  </si>
  <si>
    <t>302-2018-DRSJ/DESP</t>
  </si>
  <si>
    <t>318</t>
  </si>
  <si>
    <t>00008673</t>
  </si>
  <si>
    <t>MARH-TÚNEL</t>
  </si>
  <si>
    <t>099-2018-DRSJ/DESP</t>
  </si>
  <si>
    <t>322</t>
  </si>
  <si>
    <t>00008676</t>
  </si>
  <si>
    <t>PACHACAYO</t>
  </si>
  <si>
    <t>CANCHAYLLO</t>
  </si>
  <si>
    <t>093-2018-DRSJ/DESP</t>
  </si>
  <si>
    <t>323</t>
  </si>
  <si>
    <t>00008677</t>
  </si>
  <si>
    <t>SAN CRISTÓBAL</t>
  </si>
  <si>
    <t>098-2018-DRSJ/DESP</t>
  </si>
  <si>
    <t>372</t>
  </si>
  <si>
    <t>00008678</t>
  </si>
  <si>
    <t>SAN PEDRO DE CAJAS</t>
  </si>
  <si>
    <t>103-2018-DRSJ/DESP</t>
  </si>
  <si>
    <t>324</t>
  </si>
  <si>
    <t>00021890</t>
  </si>
  <si>
    <t>YAURICOCHA</t>
  </si>
  <si>
    <t>YAUYOS</t>
  </si>
  <si>
    <t>ALÍS</t>
  </si>
  <si>
    <t>335-2019-DRSJ/OEGDRH</t>
  </si>
  <si>
    <t>492</t>
  </si>
  <si>
    <t>00012189</t>
  </si>
  <si>
    <t>PICHANAQUI</t>
  </si>
  <si>
    <t>RES. 365-PE-ESSALUD-2009 (12-08-09).pdf</t>
  </si>
  <si>
    <t>326-2018-DRSJ/DESP</t>
  </si>
  <si>
    <t>RED ASISTENCIAL LA LIBERTAD</t>
  </si>
  <si>
    <t>671</t>
  </si>
  <si>
    <t>00020925</t>
  </si>
  <si>
    <t>HOSPITAL DE ALTA COMPLEJIDAD DE LA LIBERTAD VIRGEN DE LA PUERTA</t>
  </si>
  <si>
    <t>TRUJILLO</t>
  </si>
  <si>
    <t>LA ESPERANZA</t>
  </si>
  <si>
    <t>RES. 620-PE-ESSALUD-2014 (15-12-14).pdf</t>
  </si>
  <si>
    <t>0623-2019-GRLL-GGR-GRSS ( 30-04-19)</t>
  </si>
  <si>
    <t>205</t>
  </si>
  <si>
    <t>00009042</t>
  </si>
  <si>
    <t>VÍCTOR LAZARTE ECHEGARAY</t>
  </si>
  <si>
    <t>RES. 407-PE-ESSALUD-1999 (30-12-1999).pdf</t>
  </si>
  <si>
    <t>0616-2019-GRLL-GGR-GRSS ( 24-04-19)</t>
  </si>
  <si>
    <t>206</t>
  </si>
  <si>
    <t>00009037</t>
  </si>
  <si>
    <t>CHOCOPE</t>
  </si>
  <si>
    <t>ASCOPE</t>
  </si>
  <si>
    <t>RGR Nº 373-2011-GR-LL-GGR-GRSS (18-04-11)</t>
  </si>
  <si>
    <t>207</t>
  </si>
  <si>
    <t>00008685</t>
  </si>
  <si>
    <t>ALBRECHT</t>
  </si>
  <si>
    <t>RES. 275-PE-ESSALUD 99  (09-09-99)</t>
  </si>
  <si>
    <t>RGR Nº 2583-2018-GR-LL-GGR-GRSS (05-12-18)</t>
  </si>
  <si>
    <t>211</t>
  </si>
  <si>
    <t>00009278</t>
  </si>
  <si>
    <t>FLORENCIA DE MORA</t>
  </si>
  <si>
    <t>RES. 218-GG-IPSS-98  (04-03-98)</t>
  </si>
  <si>
    <t>RGR Nº 142-2019-GR-LL-GGR-GRSS (12-02-19)</t>
  </si>
  <si>
    <t>212</t>
  </si>
  <si>
    <t>00009040</t>
  </si>
  <si>
    <t>RES. 437-PE-ESSALUD-2011 (17-06-11).pdf</t>
  </si>
  <si>
    <t>RGR Nº 109-2010-GR-LL-GGR-GRSS (15-02-10)</t>
  </si>
  <si>
    <t>213</t>
  </si>
  <si>
    <t>00009038</t>
  </si>
  <si>
    <t>MOCHE</t>
  </si>
  <si>
    <t>RES. 438-PE-ESSALUD-2011 (17-06-11).pdf</t>
  </si>
  <si>
    <t>RGR Nº 143-2019-GR-LL-GGR-GRSS (12-02-19)</t>
  </si>
  <si>
    <t>208</t>
  </si>
  <si>
    <t>00008514</t>
  </si>
  <si>
    <t>PACASMAYO</t>
  </si>
  <si>
    <t>RES. 210-PE-ESSALUD-2011 (10-03-11).pdf</t>
  </si>
  <si>
    <t>RGR Nº 164-2019-GR-LL-GGR-GRSS (12-02-19)</t>
  </si>
  <si>
    <t>241</t>
  </si>
  <si>
    <t>00011702</t>
  </si>
  <si>
    <t>H.</t>
  </si>
  <si>
    <t>VICTOR SOLES GARCIA</t>
  </si>
  <si>
    <t>VIRÚ</t>
  </si>
  <si>
    <t>RES. 102-PE-ESSALUD-2011 (28-01-11).pdf</t>
  </si>
  <si>
    <t>RGR Nº 1908-2017-GR-LL-GGR-GRSS (05-10-17)</t>
  </si>
  <si>
    <t>210</t>
  </si>
  <si>
    <t>00009041</t>
  </si>
  <si>
    <t>EL PORVENIR</t>
  </si>
  <si>
    <t>RES. 187-PE-ESSALUD-2008 (11-04-08).pdf</t>
  </si>
  <si>
    <t>RGR Nº 123-2019-GR-LL-GGR-GRSS (06-02-19)</t>
  </si>
  <si>
    <t>443</t>
  </si>
  <si>
    <t>00011659</t>
  </si>
  <si>
    <t>VÍCTOR LARCO HERRERA</t>
  </si>
  <si>
    <t>RES. 234-PE-ESSALUD-2008 (20-05-08).pdf</t>
  </si>
  <si>
    <t>RGR Nº 223-2020-GR-LL-GGR-GRSS</t>
  </si>
  <si>
    <t>484</t>
  </si>
  <si>
    <t>00011373</t>
  </si>
  <si>
    <t>METROPOLITANO DE TRUJILLO</t>
  </si>
  <si>
    <t>RES. 318-PE-ESSALUD-2009 (09-07-09).pdf</t>
  </si>
  <si>
    <t>RGR Nº 139-2019-GR-LL-GGR-GRSS (12-02-19)</t>
  </si>
  <si>
    <t>209</t>
  </si>
  <si>
    <t>00009043</t>
  </si>
  <si>
    <t>RGR Nº 2424-2018-GR-LL-GGR-GRSS (22-11-18)</t>
  </si>
  <si>
    <t>429</t>
  </si>
  <si>
    <t>00009141</t>
  </si>
  <si>
    <t>ESPECIALIZADO CASA GRANDE</t>
  </si>
  <si>
    <t>CASA GRANDE</t>
  </si>
  <si>
    <t>RES. 383-PE-ESSALUD-2004 (14-05-04).pdf</t>
  </si>
  <si>
    <t>RGR Nº 122-2019-GR-LL-GGR-GRSS (06-02-19)</t>
  </si>
  <si>
    <t>442</t>
  </si>
  <si>
    <t>00012096</t>
  </si>
  <si>
    <t>HUANCHACO</t>
  </si>
  <si>
    <t>RES. 235-PE-ESSALUD-2008 (20-05-08).pdf</t>
  </si>
  <si>
    <t>RGR Nº 141-2019-GR-LL-GGR-GRSS (12-02-19)</t>
  </si>
  <si>
    <t>223</t>
  </si>
  <si>
    <t>00012101</t>
  </si>
  <si>
    <t>GUADALUPE</t>
  </si>
  <si>
    <t>RES. 141-PE-ESSALUD-2009 (20-03-09).pdf</t>
  </si>
  <si>
    <t>RGR Nº 2788-2018-GR-LL-GGR-GRSS (16-12-18)</t>
  </si>
  <si>
    <t>224</t>
  </si>
  <si>
    <t>00012109</t>
  </si>
  <si>
    <t>HUAMACHUCO</t>
  </si>
  <si>
    <t>SÁNCHEZ CARRIÓN</t>
  </si>
  <si>
    <t>RES. 263-PE-ESSALUD-2010 (09-06-10).pdf</t>
  </si>
  <si>
    <t>RGR Nº 1941-2018-GR-LL-GGR-GRSS (04-09-18)</t>
  </si>
  <si>
    <t>226</t>
  </si>
  <si>
    <t>00009142</t>
  </si>
  <si>
    <t>LAREDO</t>
  </si>
  <si>
    <t>RGR Nº 2931-2018-GR-LL-GGR-GRSS (26-09-18)</t>
  </si>
  <si>
    <t>229</t>
  </si>
  <si>
    <t>00012105</t>
  </si>
  <si>
    <t>OTUZCO</t>
  </si>
  <si>
    <t>RGR Nº 119-2019-GR-LL-GGR-GRSS (06-02-19)</t>
  </si>
  <si>
    <t>239</t>
  </si>
  <si>
    <t>00011540</t>
  </si>
  <si>
    <t>SOLEDAD</t>
  </si>
  <si>
    <t>PATAZ</t>
  </si>
  <si>
    <t>PARCOY</t>
  </si>
  <si>
    <t>RGR Nº 2940-2018-GR-LL-GGR-GRSS (31-12-18)</t>
  </si>
  <si>
    <t>240</t>
  </si>
  <si>
    <t>00012111</t>
  </si>
  <si>
    <t>TAYABAMBA</t>
  </si>
  <si>
    <t>RGR Nº 2058-2018-GR-LL-GGR-GRSS (26-09-18)</t>
  </si>
  <si>
    <t>218</t>
  </si>
  <si>
    <t>00012113</t>
  </si>
  <si>
    <t>CARTAVIO</t>
  </si>
  <si>
    <t>SANTIAGO DE CAO</t>
  </si>
  <si>
    <t>RGR Nº 144-2019-GR-LL-GGR-GRSS (12-02-19)</t>
  </si>
  <si>
    <t>444</t>
  </si>
  <si>
    <t>00012117</t>
  </si>
  <si>
    <t>CHAO</t>
  </si>
  <si>
    <t>RES. 233-PE-ESSALUD-2008 (20-05-08).pdf</t>
  </si>
  <si>
    <t>RGR Nº 126-2019-GR-LL-GGR-GRSS (06-02-19)</t>
  </si>
  <si>
    <t>225</t>
  </si>
  <si>
    <t>00009646</t>
  </si>
  <si>
    <t>JEQUETEPEQUE</t>
  </si>
  <si>
    <t>RGR Nº 118-2019-GR-LL-GGR-GRSS (06-02-19)</t>
  </si>
  <si>
    <t>227</t>
  </si>
  <si>
    <t>00009486</t>
  </si>
  <si>
    <t>LIMONCARRO</t>
  </si>
  <si>
    <t>RGR Nº 2421-2018-GR-LL-GGR-GRSS (22-11-18)</t>
  </si>
  <si>
    <t>835</t>
  </si>
  <si>
    <t>00012107</t>
  </si>
  <si>
    <t>PAIJÁN</t>
  </si>
  <si>
    <t>RES. 082-PE-ESSALUD-2008 (08-02-08).pdf</t>
  </si>
  <si>
    <t>RGR Nº 140-2019-GR-LL-GGR-GRSS (12-02-19)</t>
  </si>
  <si>
    <t>230</t>
  </si>
  <si>
    <t>00012112</t>
  </si>
  <si>
    <t>QUIRUVILCA</t>
  </si>
  <si>
    <t>SANTIAGO DE CHUCO</t>
  </si>
  <si>
    <t>RGR Nº 124-2019-GR-LL-GGR-GRSS (06-02-19)</t>
  </si>
  <si>
    <t>233</t>
  </si>
  <si>
    <t>00012110</t>
  </si>
  <si>
    <t>SAN JOSÉ</t>
  </si>
  <si>
    <t>RGR Nº 2581-2018-GR-LL-GGR-GRSS (05-12-18)</t>
  </si>
  <si>
    <t>836</t>
  </si>
  <si>
    <t>00012114</t>
  </si>
  <si>
    <t>RES. 090-PE-ESSALUD-2008 (13-02-08).pdf</t>
  </si>
  <si>
    <t>RGR Nº 145-2019-GR-LL-GGR-GRSS (12-02-19)</t>
  </si>
  <si>
    <t>236</t>
  </si>
  <si>
    <t>00012108</t>
  </si>
  <si>
    <t>RGR Nº 125-2019-GR-LL-GGR-GRSS (06-02-19)</t>
  </si>
  <si>
    <t>237</t>
  </si>
  <si>
    <t>00012115</t>
  </si>
  <si>
    <t>SAUSAL</t>
  </si>
  <si>
    <t>CHICAMA</t>
  </si>
  <si>
    <t>RGR Nº 138-2019-GR-LL-GGR-GRSS (12-02-19)</t>
  </si>
  <si>
    <t>219</t>
  </si>
  <si>
    <t>00012104</t>
  </si>
  <si>
    <t>CASCAS</t>
  </si>
  <si>
    <t>GRAN CHIMÚ</t>
  </si>
  <si>
    <t>RGR Nº 121-2019-GR-LL-GGR-GRSS (06-02-19)</t>
  </si>
  <si>
    <t>220</t>
  </si>
  <si>
    <t>00009277</t>
  </si>
  <si>
    <t>RGR Nº 2930-2018-GR-LL-GGR-GRSS (31-12-18)</t>
  </si>
  <si>
    <t>228</t>
  </si>
  <si>
    <t>00012116</t>
  </si>
  <si>
    <t>MALABRIGO</t>
  </si>
  <si>
    <t>RAZURÍ</t>
  </si>
  <si>
    <t>RGR Nº 2935-2018-GR-LL-GGR-GRSS (31-12-18)</t>
  </si>
  <si>
    <t>231</t>
  </si>
  <si>
    <t>00012103</t>
  </si>
  <si>
    <t>SALAVERRY</t>
  </si>
  <si>
    <t>RGR Nº 2579-2018-GR-LL-GGR-GRSS (05-12-18)</t>
  </si>
  <si>
    <t>235</t>
  </si>
  <si>
    <t>00012097</t>
  </si>
  <si>
    <t>SAN PEDRO DE LLOC</t>
  </si>
  <si>
    <t>RGR Nº 120-2019-GR-LL-GGR-GRSS (06-02-19)</t>
  </si>
  <si>
    <t>RED ASISTENCIAL LORETO</t>
  </si>
  <si>
    <t>062</t>
  </si>
  <si>
    <t>00011409</t>
  </si>
  <si>
    <t xml:space="preserve"> IQUITOS</t>
  </si>
  <si>
    <t>LORETO</t>
  </si>
  <si>
    <t>MAYNAS</t>
  </si>
  <si>
    <t>IQUITOS</t>
  </si>
  <si>
    <t>RES. 080-PE-ESSALUD-2000 (24-03-00).pdf</t>
  </si>
  <si>
    <t>176-2020-GRL-DRS-LORETO/30.01</t>
  </si>
  <si>
    <t>063</t>
  </si>
  <si>
    <t>00020274</t>
  </si>
  <si>
    <t>YURIMAGUAS</t>
  </si>
  <si>
    <t>ALTO AMAZONAS</t>
  </si>
  <si>
    <t>RES. 120-PE-ESSALUD-2012 (01-02-12).pdf</t>
  </si>
  <si>
    <t>1181-2018-GRL-DRS-LORETO/30.01</t>
  </si>
  <si>
    <t>439</t>
  </si>
  <si>
    <t>00011408</t>
  </si>
  <si>
    <t>RES. 270-PE-ESSALUD-2008 (03-06-08).pdf</t>
  </si>
  <si>
    <t>879-2021-GRL-DRS-LORETO/30.01</t>
  </si>
  <si>
    <t>440</t>
  </si>
  <si>
    <t>00011397</t>
  </si>
  <si>
    <t>PUNCHANA</t>
  </si>
  <si>
    <t>RES. 269-PE-ESSALUD-2008 (03-06-08).pdf</t>
  </si>
  <si>
    <t>878-2021-GRL-DRS-LORETO/30.02</t>
  </si>
  <si>
    <t>064</t>
  </si>
  <si>
    <t>849</t>
  </si>
  <si>
    <t>00011556</t>
  </si>
  <si>
    <t>CABALLOCOCHA</t>
  </si>
  <si>
    <t>RAMÓN CASTILLA</t>
  </si>
  <si>
    <t>RES. 346-PE-ESSALUD-2008 (17-07-08).pdf</t>
  </si>
  <si>
    <t>121-2022-GRL-DRS-LORETO/30.01</t>
  </si>
  <si>
    <t>065</t>
  </si>
  <si>
    <t>850</t>
  </si>
  <si>
    <t>00011403</t>
  </si>
  <si>
    <t>NAUTA</t>
  </si>
  <si>
    <t>1083-2021-GRL-DRS-LORETO/30.01</t>
  </si>
  <si>
    <t>066</t>
  </si>
  <si>
    <t>851</t>
  </si>
  <si>
    <t>00011405</t>
  </si>
  <si>
    <t>REQUENA</t>
  </si>
  <si>
    <t>333-2021-GRL-DRS-LORETO/30.01</t>
  </si>
  <si>
    <t>441</t>
  </si>
  <si>
    <t>00011386</t>
  </si>
  <si>
    <t>RES. 268-PE-ESSALUD-2008 (03-06-08).pdf</t>
  </si>
  <si>
    <t>862-2021-GRL-DRS-LORETO/30.02</t>
  </si>
  <si>
    <t>518</t>
  </si>
  <si>
    <t>00021032</t>
  </si>
  <si>
    <t>SAN ANTONIO DEL ESTRECHO</t>
  </si>
  <si>
    <t>PUTUMAYO</t>
  </si>
  <si>
    <t>RES. 464-PE-ESSALUD-2012 (28-05-12).pdf</t>
  </si>
  <si>
    <t>1398-2018-GRL-DRS-LORETO/30.01</t>
  </si>
  <si>
    <t>RED ASISTENCIAL MADRE DE DIOS</t>
  </si>
  <si>
    <t>127</t>
  </si>
  <si>
    <t>00009319</t>
  </si>
  <si>
    <t>VÍCTOR ALFREDO LAZO PERALTA</t>
  </si>
  <si>
    <t>TAMBOPATA</t>
  </si>
  <si>
    <t>RES. 122-PE-ESSALUD-2000 (05-05-00).pdf</t>
  </si>
  <si>
    <t>R.D N°   713-2021-GOREMAD/DIRESA-DG</t>
  </si>
  <si>
    <t>129</t>
  </si>
  <si>
    <t>00009317</t>
  </si>
  <si>
    <t>IBERIA</t>
  </si>
  <si>
    <t>TAHUAMANU</t>
  </si>
  <si>
    <t>R.D N°  692-2021-GOREMAD/DIRESA-DG</t>
  </si>
  <si>
    <t>132</t>
  </si>
  <si>
    <t>00009318</t>
  </si>
  <si>
    <t>MAZUCO</t>
  </si>
  <si>
    <t>INAMBARI</t>
  </si>
  <si>
    <t>R.D N° 691-2021-GOREMAD/DIRESA-DG</t>
  </si>
  <si>
    <t>RED ASISTENCIAL MOQUEGUA</t>
  </si>
  <si>
    <t>135</t>
  </si>
  <si>
    <t>00016153</t>
  </si>
  <si>
    <t xml:space="preserve"> ILO</t>
  </si>
  <si>
    <t>MOQUEGUA</t>
  </si>
  <si>
    <t>ILO</t>
  </si>
  <si>
    <t>RES. 092-GG-IPSS-1999 (22-01-99).pdf</t>
  </si>
  <si>
    <t>Resol 746-2018 GERESA MOQUEGUA (27-12-2018)</t>
  </si>
  <si>
    <t>136</t>
  </si>
  <si>
    <t>00016157</t>
  </si>
  <si>
    <t>MARISCAL NIETO</t>
  </si>
  <si>
    <t>RES. 069-PE-ESSALUD-2000 (16-03-00).pdf</t>
  </si>
  <si>
    <t>Resol 745-2018 GERESA MOQUEGUA (27-12-2018)</t>
  </si>
  <si>
    <t>681</t>
  </si>
  <si>
    <t>PAMPA INALAMBRICA</t>
  </si>
  <si>
    <t>RES. 875-PE-ESSALUD-2017 (23-11-17).pdf</t>
  </si>
  <si>
    <t>Resol 954-2019 GERESA MOQUEGUA (13-12019)</t>
  </si>
  <si>
    <t>680</t>
  </si>
  <si>
    <t>SAMEGUA</t>
  </si>
  <si>
    <t>Resol 940-2019 GERESA MOQUEGUA</t>
  </si>
  <si>
    <t>474</t>
  </si>
  <si>
    <t xml:space="preserve">00016151 </t>
  </si>
  <si>
    <t>TORATA</t>
  </si>
  <si>
    <t>RES. 252-PE-ESSALUD-2009 (04-06-09).pdf</t>
  </si>
  <si>
    <t>Resol 747-2018 GERESA MOQUEGUA (27-12-2018)</t>
  </si>
  <si>
    <t>137</t>
  </si>
  <si>
    <t>00016150</t>
  </si>
  <si>
    <t>OMATE</t>
  </si>
  <si>
    <t>GENERAL SÁNCHEZ CERRO</t>
  </si>
  <si>
    <t>Resol 047-2019 GERESA MOQUEGUA (24-01-2019)</t>
  </si>
  <si>
    <t>RED ASISTENCIAL MOYOBAMBA</t>
  </si>
  <si>
    <t>281</t>
  </si>
  <si>
    <t>00015598</t>
  </si>
  <si>
    <t>ALTO MAYO</t>
  </si>
  <si>
    <t>MOYOBAMBA</t>
  </si>
  <si>
    <t>RES. 100-PE-ESSALUD-2010 (04-06-09).pdf</t>
  </si>
  <si>
    <t>RD Nº 744-2019-GRSM/DIRESA-SM/DIREFISSA (19-12-19)</t>
  </si>
  <si>
    <t>282</t>
  </si>
  <si>
    <t>00021003</t>
  </si>
  <si>
    <t>RIOJA</t>
  </si>
  <si>
    <t>RD N° 071-2019-GRSM-SM/DIRES-SM/(20-03-2019)</t>
  </si>
  <si>
    <t>489</t>
  </si>
  <si>
    <t>00019336</t>
  </si>
  <si>
    <t>NUEVA CAJAMARCA</t>
  </si>
  <si>
    <t>RES. 314-PE-ESSALUD-2009 (08-07-09).pdf</t>
  </si>
  <si>
    <t>RD N° 415-2018-GRSM-SM/DIRES-SM/(20-11-2018)</t>
  </si>
  <si>
    <t>RED ASISTENCIAL PASCO</t>
  </si>
  <si>
    <t>325</t>
  </si>
  <si>
    <t>00009747</t>
  </si>
  <si>
    <t xml:space="preserve"> CERRO DE PASCO</t>
  </si>
  <si>
    <t>PASCO</t>
  </si>
  <si>
    <t>CHAUPIMARCA</t>
  </si>
  <si>
    <t>700-2019-DG-DIRESA/GR PASCO</t>
  </si>
  <si>
    <t>326</t>
  </si>
  <si>
    <t>00009749</t>
  </si>
  <si>
    <t xml:space="preserve"> HUARIACA</t>
  </si>
  <si>
    <t>HUARIACA</t>
  </si>
  <si>
    <t>RD N° 799-2021-GRP-GGR-GRDS/DRS-DESP-USS</t>
  </si>
  <si>
    <t>334</t>
  </si>
  <si>
    <t>00009748</t>
  </si>
  <si>
    <t>OXAPAMPA</t>
  </si>
  <si>
    <t>RES. 006-PE-ESSALUD-2000 (11-01-00).pdf</t>
  </si>
  <si>
    <t>RD N° 794-2021-GRP-GGR-GRDS/DRS-DESP-USS</t>
  </si>
  <si>
    <t>338</t>
  </si>
  <si>
    <t>844</t>
  </si>
  <si>
    <t>00009750</t>
  </si>
  <si>
    <t>SAN JUAN</t>
  </si>
  <si>
    <t>YANACANCHA</t>
  </si>
  <si>
    <t>RES. 013-PE-ESSALUD-2008 (16-01-08).pdf</t>
  </si>
  <si>
    <t>592-2019-DG-DIRESA/GR PASCO</t>
  </si>
  <si>
    <t>332</t>
  </si>
  <si>
    <t>00009751</t>
  </si>
  <si>
    <t>HUAYLLAY</t>
  </si>
  <si>
    <t>RES. 132-PE-ESSALUD-2009 (20-03-09).pdf</t>
  </si>
  <si>
    <t>396-2019-DG-DIRESA/GR PASCO</t>
  </si>
  <si>
    <t>340</t>
  </si>
  <si>
    <t>00009761</t>
  </si>
  <si>
    <t>VILLA RICA</t>
  </si>
  <si>
    <t>RD N° 792-2021-GRP-GGR-GRDS/DRS-DESP-USS</t>
  </si>
  <si>
    <t>341</t>
  </si>
  <si>
    <t>00009760</t>
  </si>
  <si>
    <t>YANAHUANCA</t>
  </si>
  <si>
    <t>DANIEL A. CARRIÓN</t>
  </si>
  <si>
    <t>593-2019-DG-DIRESA/GR PASCO</t>
  </si>
  <si>
    <t>329</t>
  </si>
  <si>
    <t>00009752</t>
  </si>
  <si>
    <t>CHICRÍN</t>
  </si>
  <si>
    <t>514-2019-DG-DIRESA/GR PASCO</t>
  </si>
  <si>
    <t>330</t>
  </si>
  <si>
    <t>00009754</t>
  </si>
  <si>
    <t>COLQUIJIRCA</t>
  </si>
  <si>
    <t>TINYAHUARCO</t>
  </si>
  <si>
    <t>515-2019-DG-DIRESA/GR PASCO</t>
  </si>
  <si>
    <t>333</t>
  </si>
  <si>
    <t>00009753</t>
  </si>
  <si>
    <t>MILPO</t>
  </si>
  <si>
    <t>SAN FRANCISCO  DE ASIS DE YARUSYACAN</t>
  </si>
  <si>
    <t>RES. 617-PE-ESSALUD-2012 (24-07-12).pdf</t>
  </si>
  <si>
    <t>397-2019-DG-DIRESA/GR PASCO</t>
  </si>
  <si>
    <t>335</t>
  </si>
  <si>
    <t>00009762</t>
  </si>
  <si>
    <t>594-2019-DG-DIRESA/GR PASCO</t>
  </si>
  <si>
    <t>336</t>
  </si>
  <si>
    <t>00009758</t>
  </si>
  <si>
    <t>POZUZO</t>
  </si>
  <si>
    <t>RD N° 793-2021-GRP-GGR-GRDS/DRS-DESP-USS</t>
  </si>
  <si>
    <t>337</t>
  </si>
  <si>
    <t>00009763</t>
  </si>
  <si>
    <t>PUERTO BERMÚDEZ</t>
  </si>
  <si>
    <t>RD N° 789-2021-GRP-GGR-GRDS/DRS-DESP-USS</t>
  </si>
  <si>
    <t>RED ASISTENCIAL PIURA</t>
  </si>
  <si>
    <t>261</t>
  </si>
  <si>
    <t>00015230</t>
  </si>
  <si>
    <t>CAYETANO HEREDIA</t>
  </si>
  <si>
    <t>0732-2021/GOB REG -DRSP-DESP</t>
  </si>
  <si>
    <t>265</t>
  </si>
  <si>
    <t>00010244</t>
  </si>
  <si>
    <t>JORGE REÁTEGUI DELGADO</t>
  </si>
  <si>
    <t>RES. 244-PE-ESSALUD-1999 (19-08-99).pdf</t>
  </si>
  <si>
    <t>RD N° 895-2019/GOB REG.PIURA-DRSP-DESP-DSS</t>
  </si>
  <si>
    <t>264</t>
  </si>
  <si>
    <t>00012243</t>
  </si>
  <si>
    <t>TALARA</t>
  </si>
  <si>
    <t>PARIÑAS</t>
  </si>
  <si>
    <t>RES. 091-GG-IPSS-1999 (22-01-99).pdf</t>
  </si>
  <si>
    <t>RD N° 480-2019/GOB REG.PIURA-DRSP-DESP-DSS</t>
  </si>
  <si>
    <t>262</t>
  </si>
  <si>
    <t>00011763</t>
  </si>
  <si>
    <t>MIGUEL CRUZADO VERA</t>
  </si>
  <si>
    <t>PAITA</t>
  </si>
  <si>
    <t>RES. 062-PE-ESSALUD-2004 (26-01-04).pdf</t>
  </si>
  <si>
    <t>RD N° 217-2018/GOB REG.PIURA-DRSP-DESP-DSS</t>
  </si>
  <si>
    <t>263</t>
  </si>
  <si>
    <t>00010267</t>
  </si>
  <si>
    <t>SULLANA</t>
  </si>
  <si>
    <t>RD N° 875-2019/GOB REG.PIURA-DRSP-DESP-DSS</t>
  </si>
  <si>
    <t>488</t>
  </si>
  <si>
    <t>00012319</t>
  </si>
  <si>
    <t>CATACAOS</t>
  </si>
  <si>
    <t>RES. 312-PE-ESSALUD-2009 (08-07-09).pdf</t>
  </si>
  <si>
    <t>RD N° 0076-2022/GRP-DRSP-DESP-DSS</t>
  </si>
  <si>
    <t>517</t>
  </si>
  <si>
    <t>516</t>
  </si>
  <si>
    <t>00012235</t>
  </si>
  <si>
    <t>METROPOLITANO DE PIURA</t>
  </si>
  <si>
    <t>RES. 323-PE-ESSALUD-2011 (28-04-11).pdf</t>
  </si>
  <si>
    <t>RD N° 458-2019/GOB REG.PIURA-DRSP-DESP-DSS</t>
  </si>
  <si>
    <t>266</t>
  </si>
  <si>
    <t>00010243</t>
  </si>
  <si>
    <t>RES. 569-PE-ESSALUD-2011 (25-07-11).pdf</t>
  </si>
  <si>
    <t>RD N° 150-2022/GRP-DRSP-DEDSS</t>
  </si>
  <si>
    <t>380</t>
  </si>
  <si>
    <t>403</t>
  </si>
  <si>
    <t>00019912</t>
  </si>
  <si>
    <t>EL ALTO</t>
  </si>
  <si>
    <t>RES. 219-GG-ESSALUD-1999 (18-02-99).pdf</t>
  </si>
  <si>
    <t>RD N° 409-2018/GRP-DRSP-DEDSS</t>
  </si>
  <si>
    <t>273</t>
  </si>
  <si>
    <t>00011733</t>
  </si>
  <si>
    <t>LEONCIO AMAYA TUME</t>
  </si>
  <si>
    <t>RES. 475-PE-ESSALUD-2005 (19-08-05).pdf</t>
  </si>
  <si>
    <t>RD N° 0103-2018/GRP-DRSP-DEDSS</t>
  </si>
  <si>
    <t>278</t>
  </si>
  <si>
    <t>839</t>
  </si>
  <si>
    <t>00011707</t>
  </si>
  <si>
    <t>TAMBOGRANDE</t>
  </si>
  <si>
    <t>TAMBO GRANDE</t>
  </si>
  <si>
    <t>RES. 470-PE-ESSALUD-2007 (05-09-07).pdf</t>
  </si>
  <si>
    <t>RD N° 0106-2018/GRP-DRSP-DEDSS</t>
  </si>
  <si>
    <t>269</t>
  </si>
  <si>
    <t>00019913</t>
  </si>
  <si>
    <t>CHULUCANAS</t>
  </si>
  <si>
    <t>MORROPÓN</t>
  </si>
  <si>
    <t>RES. 262-PE-ESSALUD-2010 (09-06-10).pdf</t>
  </si>
  <si>
    <t>RD N° 0049-2018/GRP-DRSP-DESP-DSS</t>
  </si>
  <si>
    <t>267</t>
  </si>
  <si>
    <t>00019914</t>
  </si>
  <si>
    <t>AYABACA</t>
  </si>
  <si>
    <t>RD N° 069-2019/GRP-DRSP-DEDSS</t>
  </si>
  <si>
    <t>268</t>
  </si>
  <si>
    <t>00019835</t>
  </si>
  <si>
    <t>CANCHAQUE</t>
  </si>
  <si>
    <t>HUANCABAMBA</t>
  </si>
  <si>
    <t>RD N° 0105-2018/GRP-DRSP-DEDSS</t>
  </si>
  <si>
    <t>271</t>
  </si>
  <si>
    <t>00020625</t>
  </si>
  <si>
    <t>RD N° 621-2018/GRP-DRSP-DEDSS</t>
  </si>
  <si>
    <t>272</t>
  </si>
  <si>
    <t>00020626</t>
  </si>
  <si>
    <t>IGNACIO ESCUDERO</t>
  </si>
  <si>
    <t>RD N° 070-2019/GRP-DRSP-DEDSS</t>
  </si>
  <si>
    <t>274</t>
  </si>
  <si>
    <t>00019915</t>
  </si>
  <si>
    <t>LOS ÓRGANOS</t>
  </si>
  <si>
    <t>RD N° 068-2019/GRP-DRSP-DEDSS</t>
  </si>
  <si>
    <t>275</t>
  </si>
  <si>
    <t>00020627</t>
  </si>
  <si>
    <t>RD N° 459-2019/GOB REG.PIURA-DRSP-DESP-DSS</t>
  </si>
  <si>
    <t>276</t>
  </si>
  <si>
    <t>00020628</t>
  </si>
  <si>
    <t>NEGRITOS</t>
  </si>
  <si>
    <t>LA BREA</t>
  </si>
  <si>
    <t>RD N° 681-2018/GRP-DRSP-DEDSS</t>
  </si>
  <si>
    <t>277</t>
  </si>
  <si>
    <t>00020629</t>
  </si>
  <si>
    <t>SECHURA</t>
  </si>
  <si>
    <t>RD N° 0104-2018/GRP-DRSP-DEDSS</t>
  </si>
  <si>
    <t>RED ASISTENCIAL PUNO</t>
  </si>
  <si>
    <t>140</t>
  </si>
  <si>
    <t>00009215</t>
  </si>
  <si>
    <t>RES. 254-PE-ESSALUD-1999 (26-08-99).pdf</t>
  </si>
  <si>
    <t>111-2022/DRS-PUNO-DESP-DSS</t>
  </si>
  <si>
    <t>421</t>
  </si>
  <si>
    <t>00025544</t>
  </si>
  <si>
    <t>CLÍNICA UNIVERSITARIA UNA-EsSalud</t>
  </si>
  <si>
    <t>RES. 266-PE-ESSALUD-2000 (22-09-00)</t>
  </si>
  <si>
    <t>1103-2018/DRS-PUNO-DESP-DSS</t>
  </si>
  <si>
    <t>386</t>
  </si>
  <si>
    <t>00009218</t>
  </si>
  <si>
    <t>ILAVE</t>
  </si>
  <si>
    <t>EL COLLAO</t>
  </si>
  <si>
    <t>RES. 127-PE-ESSALUD-2000 (08-05-00).pdf</t>
  </si>
  <si>
    <t>1019-2018/DRS-PUNO-DESP-DSS</t>
  </si>
  <si>
    <t>414</t>
  </si>
  <si>
    <t>00009217</t>
  </si>
  <si>
    <t>METROPOLITANO DE PUNO</t>
  </si>
  <si>
    <t>RES. 321-PE-ESSALUD-2011 (28-04-11).pdf</t>
  </si>
  <si>
    <t>452</t>
  </si>
  <si>
    <t>00009220</t>
  </si>
  <si>
    <t>ACORA</t>
  </si>
  <si>
    <t>RES. 028-PE-ESSALUD-2009 (15-01-09).pdf</t>
  </si>
  <si>
    <t>145</t>
  </si>
  <si>
    <t>00009222</t>
  </si>
  <si>
    <t>JULI</t>
  </si>
  <si>
    <t>CHUCUITO</t>
  </si>
  <si>
    <t>148</t>
  </si>
  <si>
    <t>00009219</t>
  </si>
  <si>
    <t>YUNGUYO</t>
  </si>
  <si>
    <t>451</t>
  </si>
  <si>
    <t>00009221</t>
  </si>
  <si>
    <t>DESAGUADERO</t>
  </si>
  <si>
    <t>524</t>
  </si>
  <si>
    <t>00025342</t>
  </si>
  <si>
    <t>LARAQUERI</t>
  </si>
  <si>
    <t>PICHACANI</t>
  </si>
  <si>
    <t>RES. 815-PE-ESSALUD-2013 (13-11-13).pdf</t>
  </si>
  <si>
    <t>RED ASISTENCIAL TACNA</t>
  </si>
  <si>
    <t>149</t>
  </si>
  <si>
    <t>00010185</t>
  </si>
  <si>
    <t>TACNA DANIEL ALCIDES CARRIÓN</t>
  </si>
  <si>
    <t>TACNA</t>
  </si>
  <si>
    <t>CALANA</t>
  </si>
  <si>
    <t>RES. 068-GG-IPSS-1999 (19-01-99).pdf</t>
  </si>
  <si>
    <t>682-2019-OAJ-DR/DRS.T/GOB.REG.TACNA</t>
  </si>
  <si>
    <t>430</t>
  </si>
  <si>
    <t>833</t>
  </si>
  <si>
    <t>00010190</t>
  </si>
  <si>
    <t>METROPOLITANO DE TACNA</t>
  </si>
  <si>
    <t>RES. 324-PE-ESSALUD-2011 (28-04-11).pdf</t>
  </si>
  <si>
    <t>048-2022-OAJ-DR/DRS.T/GOB.REG.TACNA</t>
  </si>
  <si>
    <t>150</t>
  </si>
  <si>
    <t>00010222</t>
  </si>
  <si>
    <t>LUIS PALZA LEVANO</t>
  </si>
  <si>
    <t>049-2022-OAJ-DR/DRS.T/GOB.REG.TACNA</t>
  </si>
  <si>
    <t>448</t>
  </si>
  <si>
    <t>00010228</t>
  </si>
  <si>
    <t>OSCAR FERNANDEZ DÁVILA VELEZ</t>
  </si>
  <si>
    <t>809-2018-OAJ-DR/DRS.T/GOB.REG.TACNA</t>
  </si>
  <si>
    <t>151</t>
  </si>
  <si>
    <t>00018550</t>
  </si>
  <si>
    <t>LOCUMBA</t>
  </si>
  <si>
    <t>JORGE BASADRE</t>
  </si>
  <si>
    <t>0718-2018-OAJ-DR/DRS.T/GOB.REG.TACNA</t>
  </si>
  <si>
    <t>435</t>
  </si>
  <si>
    <t>00010191</t>
  </si>
  <si>
    <t>ILABAYA</t>
  </si>
  <si>
    <t>203-2022-OAJ-DR/DRS.T/GOB.REG.TACNA</t>
  </si>
  <si>
    <t>837</t>
  </si>
  <si>
    <t>00010230</t>
  </si>
  <si>
    <t>ITE</t>
  </si>
  <si>
    <t>0857-2019-OAJ-DR/DRS.T/GOB.REG.TACNA</t>
  </si>
  <si>
    <t>152</t>
  </si>
  <si>
    <t>00010192</t>
  </si>
  <si>
    <t>TARATA</t>
  </si>
  <si>
    <t>050-2022-OAJ-DR/DRS.T/GOB.REG.TACNA</t>
  </si>
  <si>
    <t>RED ASISTENCIAL TARAPOTO</t>
  </si>
  <si>
    <t>279</t>
  </si>
  <si>
    <t>284</t>
  </si>
  <si>
    <t>00016480</t>
  </si>
  <si>
    <t>TARAPOTO</t>
  </si>
  <si>
    <t>790-2019GRDSM-DIRESA SM</t>
  </si>
  <si>
    <t>280</t>
  </si>
  <si>
    <t>00016481</t>
  </si>
  <si>
    <t>JUANJUI</t>
  </si>
  <si>
    <t>MARISCAL CÁCERES</t>
  </si>
  <si>
    <t>791-2019GRDSM-DIRESA SM</t>
  </si>
  <si>
    <t>709</t>
  </si>
  <si>
    <t>00027727</t>
  </si>
  <si>
    <t>RES_356_PE_ESSALUD_2016.pdf</t>
  </si>
  <si>
    <t>788-2019GRDSM-DIRESA SM</t>
  </si>
  <si>
    <t>708</t>
  </si>
  <si>
    <t>00027730</t>
  </si>
  <si>
    <t>MORALES</t>
  </si>
  <si>
    <t>789-2019GRDSM-DIRESA SM</t>
  </si>
  <si>
    <t>285</t>
  </si>
  <si>
    <t>00016482</t>
  </si>
  <si>
    <t>BELLAVISTA</t>
  </si>
  <si>
    <t>419-2019GRDSM-DIRESA SM</t>
  </si>
  <si>
    <t>286</t>
  </si>
  <si>
    <t>00016484</t>
  </si>
  <si>
    <t>LAMAS</t>
  </si>
  <si>
    <t>051-2019GRDSM-DIRESA SM</t>
  </si>
  <si>
    <t>289</t>
  </si>
  <si>
    <t>00016483</t>
  </si>
  <si>
    <t>SAPOSOA</t>
  </si>
  <si>
    <t>HUALLAGA</t>
  </si>
  <si>
    <t>RED ASISTENCIAL TUMBES</t>
  </si>
  <si>
    <t>292</t>
  </si>
  <si>
    <t>00012272</t>
  </si>
  <si>
    <t>CARLOS ALBERTO CORTÉZ JIMÉNEZ</t>
  </si>
  <si>
    <t>TUMBES</t>
  </si>
  <si>
    <t>RES. 151-PE-ESSALUD-2004 (26-02-04).pdf</t>
  </si>
  <si>
    <t>RD Nº 579-2018-GRTUMBES-DRST-DR (09-7-18)</t>
  </si>
  <si>
    <t>293</t>
  </si>
  <si>
    <t>00012274</t>
  </si>
  <si>
    <t>LA CRUZ</t>
  </si>
  <si>
    <t>381</t>
  </si>
  <si>
    <t>00012271</t>
  </si>
  <si>
    <t>ZARUMILLA</t>
  </si>
  <si>
    <t>294</t>
  </si>
  <si>
    <t>00012273</t>
  </si>
  <si>
    <t>ZORRITOS</t>
  </si>
  <si>
    <t>CNTRALMTE. VILLAR</t>
  </si>
  <si>
    <t>RED ASISTENCIAL UCAYALI</t>
  </si>
  <si>
    <t>349</t>
  </si>
  <si>
    <t>00009600</t>
  </si>
  <si>
    <t xml:space="preserve"> PUCALLPA</t>
  </si>
  <si>
    <t>UCAYALI</t>
  </si>
  <si>
    <t>CORONEL PORTILLO</t>
  </si>
  <si>
    <t>CALLARIA</t>
  </si>
  <si>
    <t>016-2019-GRU DIRESAU-OAJ</t>
  </si>
  <si>
    <t>350</t>
  </si>
  <si>
    <t>00009597</t>
  </si>
  <si>
    <t>AGUAYTIA</t>
  </si>
  <si>
    <t>PADRE ABAD</t>
  </si>
  <si>
    <t>664-2018-GRU DIRESAU-OAJ</t>
  </si>
  <si>
    <t>351</t>
  </si>
  <si>
    <t>00009598</t>
  </si>
  <si>
    <t>ALAMEDA</t>
  </si>
  <si>
    <t>YARINACOCHA</t>
  </si>
  <si>
    <t>352</t>
  </si>
  <si>
    <t>00009592</t>
  </si>
  <si>
    <t>ATALAYA</t>
  </si>
  <si>
    <t>RAIMONDI</t>
  </si>
  <si>
    <t>355</t>
  </si>
  <si>
    <t>00010843</t>
  </si>
  <si>
    <t>CONTAMANA</t>
  </si>
  <si>
    <t>507-2019-GRL-LORETO/30.01</t>
  </si>
  <si>
    <t>503</t>
  </si>
  <si>
    <t>00009604</t>
  </si>
  <si>
    <t>CAMPO VERDE</t>
  </si>
  <si>
    <t>RES. 498-PE-ESSALUD-2010 (11-10-10).pdf</t>
  </si>
  <si>
    <t>515</t>
  </si>
  <si>
    <t>00013874</t>
  </si>
  <si>
    <t>MANANTAY</t>
  </si>
  <si>
    <t>RES. 499-PE-ESSALUD-2011 (06-07-11).pdf</t>
  </si>
  <si>
    <t>RED PRESTACIONAL ALMENARA</t>
  </si>
  <si>
    <t>002</t>
  </si>
  <si>
    <t>00009251</t>
  </si>
  <si>
    <t>GUILLERMO ALMENARA  IRIGOYEN</t>
  </si>
  <si>
    <t>LA VICTORIA</t>
  </si>
  <si>
    <t>ACUERDO DIRECTORIO N° 3 IPSS-98</t>
  </si>
  <si>
    <t>III-2</t>
  </si>
  <si>
    <t>RD N° 129-219-DIRIS LE-DESP-DSS (24.04.19)</t>
  </si>
  <si>
    <t>007</t>
  </si>
  <si>
    <t>00008502</t>
  </si>
  <si>
    <t>HOSPITAL DE EMERGENCIAS GRAU</t>
  </si>
  <si>
    <t>RES. 414-PE-ESSALUD-2001 (26-07-01).pdf</t>
  </si>
  <si>
    <t>RD Nº 1344/2009-DG-DESP-DISAVL.C. (19-11-09)</t>
  </si>
  <si>
    <t>017</t>
  </si>
  <si>
    <t>00009188</t>
  </si>
  <si>
    <t>RES. 321-PE-ESSALUD-2012 (23-03-12).pdf</t>
  </si>
  <si>
    <t>RD Nº 002/2019-MINSA/DIRIS/LC (02.08.18)</t>
  </si>
  <si>
    <t>00010434</t>
  </si>
  <si>
    <t>SAN ISIDRO LABRADOR</t>
  </si>
  <si>
    <t>SANTA ANITA</t>
  </si>
  <si>
    <t>RES. 234-PE-ESSALUD-2009 (07-05-09).pdf</t>
  </si>
  <si>
    <t>RESOLUCIÓN DIRECTORIAL N° 166-2021-DMGS-DIRIS LE/MINSA</t>
  </si>
  <si>
    <t>008</t>
  </si>
  <si>
    <t>00008353</t>
  </si>
  <si>
    <t>VITARTE</t>
  </si>
  <si>
    <t>ATE-VITARTE</t>
  </si>
  <si>
    <t>RD N° 054-219-DIRIS LE-DESP-DSS (17.04.19)</t>
  </si>
  <si>
    <t>406</t>
  </si>
  <si>
    <t>00008317</t>
  </si>
  <si>
    <t>AURELIO DÍAZ-UFANO Y PERAL</t>
  </si>
  <si>
    <t>SAN JUAN DE LURIGANCHO</t>
  </si>
  <si>
    <t>RES. 064-PE-ESSALUD-2000 (10-03-00).pdf</t>
  </si>
  <si>
    <t>RESOLUCIÓN ADMINISTRATIVA N°074-2020-DMGS-DIRIS-LC</t>
  </si>
  <si>
    <t>404</t>
  </si>
  <si>
    <t>505</t>
  </si>
  <si>
    <t>00008318</t>
  </si>
  <si>
    <t>JORGE VOTO BERNALES CORPANCHO</t>
  </si>
  <si>
    <t>RES. 046-PE-ESSALUD-2000 (23-02-00).pdf</t>
  </si>
  <si>
    <t>RESOLUCIÓN DIRECTORIAL N°171-2021-DMGS-DIRIS-LE/MINSA</t>
  </si>
  <si>
    <t>011</t>
  </si>
  <si>
    <t>00008370</t>
  </si>
  <si>
    <t>CHOSICA</t>
  </si>
  <si>
    <t>LURIGANCHO</t>
  </si>
  <si>
    <t xml:space="preserve">RES. 150-DE-IPSS-93 </t>
  </si>
  <si>
    <t>RESOLUCIÓN DIRECTORIAL N° 128-2021-DMGS-DIRIS-LE/MINSA</t>
  </si>
  <si>
    <t>014</t>
  </si>
  <si>
    <t>00008881</t>
  </si>
  <si>
    <t>FRANCISCO PIZARRO</t>
  </si>
  <si>
    <t>RÍMAC</t>
  </si>
  <si>
    <t>RD Nº 205-18-DESP-DISAIILS/MINSA</t>
  </si>
  <si>
    <t>376</t>
  </si>
  <si>
    <t>00008289</t>
  </si>
  <si>
    <t>POL.COMPLEJIDAD CRECIENTE SAN LUIS</t>
  </si>
  <si>
    <t>SAN LUIS</t>
  </si>
  <si>
    <t>RES. 371-PE-ESSALUD-2015 (22-05-15).pdf</t>
  </si>
  <si>
    <t>RD Nº 096/2018-MINSA/DIRIS/LC (19.11.18)</t>
  </si>
  <si>
    <t>478</t>
  </si>
  <si>
    <t>00017695</t>
  </si>
  <si>
    <t>ALFREDO PIAZZA ROBERTS</t>
  </si>
  <si>
    <t>LINCE</t>
  </si>
  <si>
    <t>RES. 215-PE-ESSALUD-2013 (20-02-13).pdf</t>
  </si>
  <si>
    <t>RD Nº 775-17- D ISAIILS/MINSA</t>
  </si>
  <si>
    <t>446</t>
  </si>
  <si>
    <t>00008282</t>
  </si>
  <si>
    <t>EL AGUSTINO</t>
  </si>
  <si>
    <t>RES. 331-PE-ESSALUD-2008 (10-07-08).pdf</t>
  </si>
  <si>
    <t>RD Nº 144/2019-MINSA/DIRIS/LC (18.09.19)</t>
  </si>
  <si>
    <t>447</t>
  </si>
  <si>
    <t>00008251</t>
  </si>
  <si>
    <t>HUAYCAN</t>
  </si>
  <si>
    <t>RD N° 550-2018 DIRISLE-DESP-DSS</t>
  </si>
  <si>
    <t>481</t>
  </si>
  <si>
    <t>00016357</t>
  </si>
  <si>
    <t>INDEPENDENCIA</t>
  </si>
  <si>
    <t>RES. 316-PE-ESSALUD-2009 (09-07-09).pdf</t>
  </si>
  <si>
    <t>RESOLUCIÓN ADMINISTRATIVA Nº 323-2021-MINSA-DIRIS-LN/6</t>
  </si>
  <si>
    <t>479</t>
  </si>
  <si>
    <t>00016358</t>
  </si>
  <si>
    <t>MANCO CAPAC</t>
  </si>
  <si>
    <t>RES. 321-PE-ESSALUD-2009 (09-07-09).pdf</t>
  </si>
  <si>
    <t>480</t>
  </si>
  <si>
    <t>00008283</t>
  </si>
  <si>
    <t>SAN BORJA</t>
  </si>
  <si>
    <t>019</t>
  </si>
  <si>
    <t>00008880</t>
  </si>
  <si>
    <t>ANCIJE</t>
  </si>
  <si>
    <t>RD Nº 052/2018-MINSA/DIRIS/LC (02.08.18)</t>
  </si>
  <si>
    <t>020</t>
  </si>
  <si>
    <t>00010570</t>
  </si>
  <si>
    <t>CASAPALCA</t>
  </si>
  <si>
    <t>HUAROCHIRI</t>
  </si>
  <si>
    <t>CHICLA</t>
  </si>
  <si>
    <t>RES. 1647-DE-IPSS-1992 (13-10-92).pdf</t>
  </si>
  <si>
    <t>RD Nº 004-2020-DMGS-DIRESA LIMA/DG. (06-01-20)</t>
  </si>
  <si>
    <t>023</t>
  </si>
  <si>
    <t>0009304</t>
  </si>
  <si>
    <t>CONSTRUCCIÓN CIVIL</t>
  </si>
  <si>
    <t xml:space="preserve">RES. 7119-PE-IPSS-90 </t>
  </si>
  <si>
    <t>RD Nº 598-2019-DMGS-DIRISL.C. (31-12-19)</t>
  </si>
  <si>
    <t>RED PRESTACIONAL LAMBAYEQUE</t>
  </si>
  <si>
    <t>004</t>
  </si>
  <si>
    <t>00008577</t>
  </si>
  <si>
    <t>ALMANZOR AGUINAGA ASENJO</t>
  </si>
  <si>
    <t>LAMBAYEQUE</t>
  </si>
  <si>
    <t>CHICLAYO</t>
  </si>
  <si>
    <t>RES. 618-GG-IPESS-1991 (00-07-91).pdf</t>
  </si>
  <si>
    <t>1153-2010-GR. LAMB/DRSAL</t>
  </si>
  <si>
    <t>740</t>
  </si>
  <si>
    <t>HOSPITAL CLÍNICO TUMÁN</t>
  </si>
  <si>
    <t>TUMÁN</t>
  </si>
  <si>
    <t>RES_433-PE-ESSALUD-2020.pdf</t>
  </si>
  <si>
    <t>496</t>
  </si>
  <si>
    <t>00011020</t>
  </si>
  <si>
    <t>LUIS ENRIQUE HEYSEN INCHAUSTEGUI</t>
  </si>
  <si>
    <t>PIMENTEL</t>
  </si>
  <si>
    <t>RES. 146-PE-ESSALUD-2010 (06-04-10).pdf</t>
  </si>
  <si>
    <t>001-2014-GR.LAMB/GERESA-DESIP</t>
  </si>
  <si>
    <t>242</t>
  </si>
  <si>
    <t>00008901</t>
  </si>
  <si>
    <t>AGUSTÍN ARBULÚ NEYRA</t>
  </si>
  <si>
    <t>FERREÑAFE</t>
  </si>
  <si>
    <t>244</t>
  </si>
  <si>
    <t>00009954</t>
  </si>
  <si>
    <t>CHEPÉN</t>
  </si>
  <si>
    <t>RES. 647-GG-IPSS-1996 (15-04-96).pdf</t>
  </si>
  <si>
    <t>0436-2014-GRLL-GGR-GRSS</t>
  </si>
  <si>
    <t>402</t>
  </si>
  <si>
    <t>00008835</t>
  </si>
  <si>
    <t>NAYLAMP</t>
  </si>
  <si>
    <t>RES. 309-PE-ESSALUD-1999 (14-10-99).pdf</t>
  </si>
  <si>
    <t>384</t>
  </si>
  <si>
    <t>247</t>
  </si>
  <si>
    <t>00012241</t>
  </si>
  <si>
    <t>AGUSTIN GAVIDIA SALCEDO</t>
  </si>
  <si>
    <t>RES. 1087-GG-IPSS-1996 (31-05-96).pdf</t>
  </si>
  <si>
    <t>152-2014-GR.LAMB/GERESA-DESIP</t>
  </si>
  <si>
    <t>370</t>
  </si>
  <si>
    <t>00008836</t>
  </si>
  <si>
    <t>CHICLAYO OESTE</t>
  </si>
  <si>
    <t>RES. 539-GG-IPSS-1997 (08-05-97).pdf</t>
  </si>
  <si>
    <t>034-2018-GR.LAMB /GERESA-DESIP</t>
  </si>
  <si>
    <t>383</t>
  </si>
  <si>
    <t>246</t>
  </si>
  <si>
    <t>00008833</t>
  </si>
  <si>
    <t>CARLOS CASTAÑEDA IPARRAGUIRRE</t>
  </si>
  <si>
    <t>RES. 470-PE-ESSALUD-2011 (28-06-11).pdf</t>
  </si>
  <si>
    <t>074-2019-GR.LAMB /GERESA-DESIP</t>
  </si>
  <si>
    <t>248</t>
  </si>
  <si>
    <t>00008831</t>
  </si>
  <si>
    <t>MANUEL MANRIQUE NEVADO</t>
  </si>
  <si>
    <t>JOSÉ LEONARDO ORTÍZ</t>
  </si>
  <si>
    <t>RES. 398-PE-ESSALUD-2011 (02-06-11).pdf</t>
  </si>
  <si>
    <t>03-2020-GR.LAMB/GEREESA-DESIP</t>
  </si>
  <si>
    <t>523</t>
  </si>
  <si>
    <t>JAEN</t>
  </si>
  <si>
    <t>RES. 546-PE-ESSALUD-2013 (19-06-13).pdf</t>
  </si>
  <si>
    <t>243</t>
  </si>
  <si>
    <t>00011841</t>
  </si>
  <si>
    <t>CAYALTÍ</t>
  </si>
  <si>
    <t>ZAÑA</t>
  </si>
  <si>
    <t>RES. 2244-DE-IPSS-91 (27-12-91)</t>
  </si>
  <si>
    <t>101-2014-GR.LAMB/GERESA-DESIP</t>
  </si>
  <si>
    <t>194</t>
  </si>
  <si>
    <t>00016702</t>
  </si>
  <si>
    <t>CHOTA</t>
  </si>
  <si>
    <t>RES. 384-GG-IPSS-1996 (06-03-96).pdf</t>
  </si>
  <si>
    <t>833-2017-GR-CAJ/DSRS.CH/DG</t>
  </si>
  <si>
    <t>195</t>
  </si>
  <si>
    <t>00015233</t>
  </si>
  <si>
    <t>CUTERVO</t>
  </si>
  <si>
    <t>0902-GR.CAJ-2017/DRS-DSRSC-DESP.DG</t>
  </si>
  <si>
    <t>250</t>
  </si>
  <si>
    <t>00008838</t>
  </si>
  <si>
    <t>JUAN AITA VALLE</t>
  </si>
  <si>
    <t>ETEN</t>
  </si>
  <si>
    <t>087-GR.CAJ-2018/DRS-DSRSC-DESP.DG</t>
  </si>
  <si>
    <t>249</t>
  </si>
  <si>
    <t>00008349</t>
  </si>
  <si>
    <t>CHONGOYAPE</t>
  </si>
  <si>
    <t>031-GR.CAJ-2019/DRS-DSRSC-DESP.DG</t>
  </si>
  <si>
    <t>251</t>
  </si>
  <si>
    <t>00008891</t>
  </si>
  <si>
    <t>JAYANCA</t>
  </si>
  <si>
    <t>001-GR.CAJ-2019/DRS-DSRSC-DESP.DG</t>
  </si>
  <si>
    <t>252</t>
  </si>
  <si>
    <t>00008839</t>
  </si>
  <si>
    <t>MOTUPE</t>
  </si>
  <si>
    <t>100-2014-GR.LAMB/GERESA-DESIP</t>
  </si>
  <si>
    <t>493</t>
  </si>
  <si>
    <t>00016699</t>
  </si>
  <si>
    <t>PÁTAPO</t>
  </si>
  <si>
    <t>RES. 315-PE-ESSALUD-2009 (08-07-09).pdf</t>
  </si>
  <si>
    <t>RDE 000009-2020-GR.LAMB/GERESA-DESIP</t>
  </si>
  <si>
    <t>253</t>
  </si>
  <si>
    <t>00008830</t>
  </si>
  <si>
    <t>OLMOS</t>
  </si>
  <si>
    <t>080-2019-GR.LAMB/GERESA-DESIP</t>
  </si>
  <si>
    <t>254</t>
  </si>
  <si>
    <t>00008892</t>
  </si>
  <si>
    <t>OYOTÚN</t>
  </si>
  <si>
    <t>103-2014-GR.LAMB/GERESA-DESIP</t>
  </si>
  <si>
    <t>257</t>
  </si>
  <si>
    <t>00016703</t>
  </si>
  <si>
    <t>SANTA CRUZ</t>
  </si>
  <si>
    <t>RDRSC045-2020-GR-CAJ/DSRSC-DESP</t>
  </si>
  <si>
    <t>259</t>
  </si>
  <si>
    <t>00008608</t>
  </si>
  <si>
    <t>TUCUME</t>
  </si>
  <si>
    <t>TÚCUME</t>
  </si>
  <si>
    <t>009-2014-GR.LAMB/GERESA-DESIP</t>
  </si>
  <si>
    <t>260</t>
  </si>
  <si>
    <t>00008832</t>
  </si>
  <si>
    <t>UCUPE</t>
  </si>
  <si>
    <t>LAGUNAS</t>
  </si>
  <si>
    <t>051-GRL-2019/DRS-DSRSC-DESP.DG</t>
  </si>
  <si>
    <t>RED PRESTACIONAL REBAGLIATI</t>
  </si>
  <si>
    <t>001</t>
  </si>
  <si>
    <t>00008720</t>
  </si>
  <si>
    <t>EDGARDO REBAGLIATI  MARTINS</t>
  </si>
  <si>
    <t>RD Nº 240-DMGSS-DIRIS-LC-2019</t>
  </si>
  <si>
    <t>006</t>
  </si>
  <si>
    <t>00008489</t>
  </si>
  <si>
    <t>SUAREZ-ANGAMOS</t>
  </si>
  <si>
    <t>RES. 1298-PE-ESSALUD-2011 (22-11-11).pdf</t>
  </si>
  <si>
    <t>RD Nº035-2020-DMGS-DIRISL.C. (10-01-20)</t>
  </si>
  <si>
    <t>038</t>
  </si>
  <si>
    <t>00010536</t>
  </si>
  <si>
    <t>CAÑETE</t>
  </si>
  <si>
    <t>SAN VICENTE DE CAÑETE</t>
  </si>
  <si>
    <t>RD Nº 135/DG-DESI-DSS-DIRESA-L-2019 (14/02/2019)</t>
  </si>
  <si>
    <t>408</t>
  </si>
  <si>
    <t>00010135</t>
  </si>
  <si>
    <t>CARLOS ALCÁNTARA BUTERFIELD</t>
  </si>
  <si>
    <t>LA MOLINA</t>
  </si>
  <si>
    <t>RES. 092-PE-ESSALUD-2000 (07-04-00).pdf</t>
  </si>
  <si>
    <t>RD N° 0203-219-DIRIS LE-DESP-DSS (23.12.19)</t>
  </si>
  <si>
    <t>405</t>
  </si>
  <si>
    <t>00008741</t>
  </si>
  <si>
    <t>ULDARICO ROCCA FERNANDEZ</t>
  </si>
  <si>
    <t>VILLA EL SALVADOR</t>
  </si>
  <si>
    <t>RES. 050-PE-ESSALUD-2000 (24-02-00).pdf</t>
  </si>
  <si>
    <t>RD Nº 278-19-DISAII-LS/DG (01/12/2009) fecha venc (01/12/12)</t>
  </si>
  <si>
    <t>411</t>
  </si>
  <si>
    <t>00009298</t>
  </si>
  <si>
    <t>CENTRAL DE PREVENCIÓN LARCO</t>
  </si>
  <si>
    <t>RES. 350-PE-ESSALUD-2017 (12-05-17).pdf</t>
  </si>
  <si>
    <t>RD Nº 057-DMGSS-DIRIS-LC-2018</t>
  </si>
  <si>
    <t>010</t>
  </si>
  <si>
    <t>00008539</t>
  </si>
  <si>
    <t>RD Nº 031-2022-DMGSS-DIRIS-LC</t>
  </si>
  <si>
    <t>407</t>
  </si>
  <si>
    <t>00008438</t>
  </si>
  <si>
    <t>JUAN JOSÉ RODRÍGUEZ LAZO</t>
  </si>
  <si>
    <t>CHORRILLOS</t>
  </si>
  <si>
    <t>RES. 079-PE-ESSALUD-2000 (23-03-00).pdf</t>
  </si>
  <si>
    <t>RD Nº 031-2022-DMGSS-DIRIS-LS</t>
  </si>
  <si>
    <t>021</t>
  </si>
  <si>
    <t>00008711</t>
  </si>
  <si>
    <t>PABLO BERMÚDEZ</t>
  </si>
  <si>
    <t xml:space="preserve">LIMA </t>
  </si>
  <si>
    <t>RES. 083-PE-ESSALUD-1999 (23-04-99).pdf</t>
  </si>
  <si>
    <t>RD Nº449-DMGSS-DIRIS-LC-2021</t>
  </si>
  <si>
    <t>016</t>
  </si>
  <si>
    <t>00008378</t>
  </si>
  <si>
    <t>PRÓCERES</t>
  </si>
  <si>
    <t>SANTIAGO DE SURCO</t>
  </si>
  <si>
    <t>R.A.219-19-DMYGS-DIRIS</t>
  </si>
  <si>
    <t>436</t>
  </si>
  <si>
    <t>00009148</t>
  </si>
  <si>
    <t>RES. 114-PE-ESSALUD-2008 (26-02-08).pdf</t>
  </si>
  <si>
    <t>RD Nº 091-DMGSS-DIRIS-LC-2018</t>
  </si>
  <si>
    <t>476</t>
  </si>
  <si>
    <t>00015471</t>
  </si>
  <si>
    <t>SAN ISIDRO</t>
  </si>
  <si>
    <t>RES. 322-PE-ESSALUD-2009 (09-07-09).pdf</t>
  </si>
  <si>
    <t>RA Nº 120-18-DESP-DISAIVLS/MINSA</t>
  </si>
  <si>
    <t>500</t>
  </si>
  <si>
    <t>00013012</t>
  </si>
  <si>
    <t>SAN JUAN DE MIRAFLORES</t>
  </si>
  <si>
    <t>RES. 234-PE-ESSALUD-2013 (25-02-13).pdf</t>
  </si>
  <si>
    <t>RD Nº 002-2012-DISA-II-LS/DG (09/01/12) fecha de venc (09/01/15)</t>
  </si>
  <si>
    <t>477</t>
  </si>
  <si>
    <t>00013091</t>
  </si>
  <si>
    <t>SURQUILLO</t>
  </si>
  <si>
    <t>Resolución N° 893-15-DESP-DISA-II LS (08/03/15) fecha venc (08/03/18)</t>
  </si>
  <si>
    <t>498</t>
  </si>
  <si>
    <t>00025929</t>
  </si>
  <si>
    <t>CENTRO DE ATENCION INTEGRAL DE DIABETES E HIPERTENSION (CEDHI)</t>
  </si>
  <si>
    <t>RES. 107-PE-ESSALUD-2011 (31-01-11).pdf</t>
  </si>
  <si>
    <t>RD Nº 009-DMGSS-DIRIS-LC-2019</t>
  </si>
  <si>
    <t>039</t>
  </si>
  <si>
    <t>00010569</t>
  </si>
  <si>
    <t>MALA</t>
  </si>
  <si>
    <t>RES. 212-DE-IPSS-1993 (19-02-93).pdf</t>
  </si>
  <si>
    <t>RD N° 1246-2018-DG-DESI-DSS-DIRESA ( 31/12/2018)</t>
  </si>
  <si>
    <t>450</t>
  </si>
  <si>
    <t>00009979</t>
  </si>
  <si>
    <t>LURIN</t>
  </si>
  <si>
    <t>RES. 466-PE-ESSALUD-2008 (07-11-08).pdf</t>
  </si>
  <si>
    <t>RA Nº 250/201-9-DDMYGS-DIRIS-.LS/minsa (24-10-14) fecha venc ( 21/12/19)</t>
  </si>
  <si>
    <t>042</t>
  </si>
  <si>
    <t>LA QUEBRADA</t>
  </si>
  <si>
    <t>041</t>
  </si>
  <si>
    <t>IMPERIAL</t>
  </si>
  <si>
    <t>781</t>
  </si>
  <si>
    <t/>
  </si>
  <si>
    <t>HOSPITAL DE ESPECIALIDADES QUIRÚRGICAS SJM</t>
  </si>
  <si>
    <t>RED PRESTACIONAL SABOGAL</t>
  </si>
  <si>
    <t>005</t>
  </si>
  <si>
    <t>00008265</t>
  </si>
  <si>
    <t xml:space="preserve"> ALBERTO SABOGAL SOLOGUREN</t>
  </si>
  <si>
    <t>CALLAO</t>
  </si>
  <si>
    <t>RES. 452-PE-ESSALUD-2013 (08-05-13).pdf</t>
  </si>
  <si>
    <t>RD Nº 1141-2012-GRC/DIRESA/DG (20-11-12)</t>
  </si>
  <si>
    <t>028</t>
  </si>
  <si>
    <t>00011337</t>
  </si>
  <si>
    <t>GUSTAVO LANATTA LUJÁN</t>
  </si>
  <si>
    <t>HUAURA</t>
  </si>
  <si>
    <t>HUACHO</t>
  </si>
  <si>
    <t>RD Nº535 DG-DESI-DIRESA-L-2010</t>
  </si>
  <si>
    <t>497</t>
  </si>
  <si>
    <t>00010533</t>
  </si>
  <si>
    <t>LIMA NORTE -CALLAO "LUIS NEGREIROS VEGA"</t>
  </si>
  <si>
    <t>RES. 072-PE-ESSALUD-2010 (12-02-10).pdf</t>
  </si>
  <si>
    <t xml:space="preserve">RD Nº 745-2014-GRC/GRS/DIRESA/DG (8-8-14) </t>
  </si>
  <si>
    <t>410</t>
  </si>
  <si>
    <t>00008671</t>
  </si>
  <si>
    <t>MARINO MOLINA SCIPPA</t>
  </si>
  <si>
    <t>COMAS</t>
  </si>
  <si>
    <t>RES. 175-PE-ESSALUD-2000 (27-06-00).pdf</t>
  </si>
  <si>
    <t>RA Nº 161/2019-MINSA/DIRIS-LN./6. (14-11-19)</t>
  </si>
  <si>
    <t>412</t>
  </si>
  <si>
    <t>00008564</t>
  </si>
  <si>
    <t>OCTAVIO MONGRUT MUÑOZ</t>
  </si>
  <si>
    <t>RES. 473-PE-ESSALUD-2007 (07-09-07).pdf</t>
  </si>
  <si>
    <t>RD Nº 1371/2009-DG-DESP-DISAVL.C. (27-11-09)</t>
  </si>
  <si>
    <t>013</t>
  </si>
  <si>
    <t>00009274</t>
  </si>
  <si>
    <t>FIORI</t>
  </si>
  <si>
    <t>LOS OLIVOS</t>
  </si>
  <si>
    <t>RES. 1038-DE-IPSS-1992 (07-07-92)</t>
  </si>
  <si>
    <t>RD Nº 107/2019-MINSA (10-09-19)</t>
  </si>
  <si>
    <t>679</t>
  </si>
  <si>
    <t>POL.COMPLEJIDAD CRECIENTE EL RETABLO</t>
  </si>
  <si>
    <t>RES. 069-PE-ESSALUD-2018 (25-01-18)</t>
  </si>
  <si>
    <t>RA Nº 165/2021-MINSA/DIRIS-LN./6</t>
  </si>
  <si>
    <t>473</t>
  </si>
  <si>
    <t>00015470</t>
  </si>
  <si>
    <t>CARABAYLLO</t>
  </si>
  <si>
    <t>RES. 313-PE-ESSALUD-2009 (08-07-09).pdf</t>
  </si>
  <si>
    <t xml:space="preserve">143-2018-DG-DESP-DISA </t>
  </si>
  <si>
    <t>409</t>
  </si>
  <si>
    <t>00008146</t>
  </si>
  <si>
    <t>HERMANA MARÍA DONROSE SUTMOLLER</t>
  </si>
  <si>
    <t>VENTANILLA</t>
  </si>
  <si>
    <t>RES. 264-PE-ESSALUD-2010 (09-06-10).pdf</t>
  </si>
  <si>
    <t>1056-2018-GRC/DIRESA/DJ</t>
  </si>
  <si>
    <t>032</t>
  </si>
  <si>
    <t>838</t>
  </si>
  <si>
    <t>00010333</t>
  </si>
  <si>
    <t>HUARAL</t>
  </si>
  <si>
    <t>1125-2018-DG-DESI-DSS-DIRESA</t>
  </si>
  <si>
    <t>015</t>
  </si>
  <si>
    <t>00007948</t>
  </si>
  <si>
    <t>LUIS NEGREIROS</t>
  </si>
  <si>
    <t>RES. 043-PE-ESSALUD-2010 (01-02-10).pdf</t>
  </si>
  <si>
    <t>959/2018-GRC/G</t>
  </si>
  <si>
    <t>486</t>
  </si>
  <si>
    <t>00010964</t>
  </si>
  <si>
    <t>METROPOLITANO DEL CALLAO</t>
  </si>
  <si>
    <t>RES. 317-PE-ESSALUD-2009 (09-07-09).pdf</t>
  </si>
  <si>
    <t>668-2019-GCR/DIRESA/DG</t>
  </si>
  <si>
    <t>029</t>
  </si>
  <si>
    <t>00017814</t>
  </si>
  <si>
    <t>PEDRO REYES  BARBOZA</t>
  </si>
  <si>
    <t>BARRANCA</t>
  </si>
  <si>
    <t>971-2017-DG-DESI-DSS-DIRESA-L</t>
  </si>
  <si>
    <t>455</t>
  </si>
  <si>
    <t>00009163</t>
  </si>
  <si>
    <t>PUENTE PIEDRA</t>
  </si>
  <si>
    <t>RES. 126-PE-ESSALUD-2009 (18-03-09).pdf</t>
  </si>
  <si>
    <t>RA N° 072-2021-MINSA/DIRIS-LN/6</t>
  </si>
  <si>
    <t>031</t>
  </si>
  <si>
    <t>00010374</t>
  </si>
  <si>
    <t>CHANCAY</t>
  </si>
  <si>
    <t>RES. 003-PE-ESSALUD-2009 (07-01-09).pdf</t>
  </si>
  <si>
    <t>RESOL 562-2018-GRL-GRDS-DIRESA-LIMA-DC 11 JUL 2018</t>
  </si>
  <si>
    <t>030</t>
  </si>
  <si>
    <t>00010394</t>
  </si>
  <si>
    <t>PARAMONGA</t>
  </si>
  <si>
    <t>RES. 467-PE-ESSALUD-2009 (16-10-09).pdf</t>
  </si>
  <si>
    <t>1245-DG-DESI-DSS-DIRESA</t>
  </si>
  <si>
    <t>036</t>
  </si>
  <si>
    <t>00010391</t>
  </si>
  <si>
    <t>SAYÁN</t>
  </si>
  <si>
    <t>Res 662-PE-2010 Eleva a CAP II Sayán.pdf</t>
  </si>
  <si>
    <t>RESOL 560-2018-GRL-GRDS-DIRESA-LIMA-DC 11 JUL 2018</t>
  </si>
  <si>
    <t>033</t>
  </si>
  <si>
    <t>00010392</t>
  </si>
  <si>
    <t>HUMAYA</t>
  </si>
  <si>
    <t>RESOL 559-2018-GRL-GRDS-DIRESA-LIMA-DC 11 JUL 2018</t>
  </si>
  <si>
    <t>037</t>
  </si>
  <si>
    <t>00010393</t>
  </si>
  <si>
    <t>OYÓN</t>
  </si>
  <si>
    <t>804-DG-DESI-DSS-DIRESA</t>
  </si>
  <si>
    <t>035</t>
  </si>
  <si>
    <t>RAURA</t>
  </si>
  <si>
    <t>OFERTA EXTRAINSTITUCIONAL - SERVICIOS DE SALUD : IPRESS, APP</t>
  </si>
  <si>
    <t>COD G.H.</t>
  </si>
  <si>
    <t xml:space="preserve">TIPO </t>
  </si>
  <si>
    <t>Nro. DE CONTRATO Y/O CONVENIO</t>
  </si>
  <si>
    <t>COD_GH</t>
  </si>
  <si>
    <t>TIPO</t>
  </si>
  <si>
    <t>NRO_CONTRATO_CONVENIO</t>
  </si>
  <si>
    <t>528</t>
  </si>
  <si>
    <t>H.E. ALBERTO LEOPOLDO BARTON THOMPSON</t>
  </si>
  <si>
    <t>Contrato de Asociación Público Privado entre Essalud y Callao Salud SAC (31-03-2010)</t>
  </si>
  <si>
    <t>526</t>
  </si>
  <si>
    <t>ALBERTO LEOPOLDO BARTON THOMPSON</t>
  </si>
  <si>
    <t>852</t>
  </si>
  <si>
    <t>Convenio de Intercambio Prestacional en Salud entre el Seguro Social de salud - Red Prestacional Sabogal y la Municipalidad Distrital, Los Olivos en el marco del Decreto Legislativo Nº1302 (9-05-2024)</t>
  </si>
  <si>
    <t>527</t>
  </si>
  <si>
    <t>H.E. GUILLERMO KAELIN DE LA FUENTE</t>
  </si>
  <si>
    <t>VILLA MARÍA DEL TRIUNFO</t>
  </si>
  <si>
    <t>Contrato de Asociación Público Privado entre Essalud y Villa María del Triunfo  Salud SAC (23-03-2010)</t>
  </si>
  <si>
    <t>525</t>
  </si>
  <si>
    <t>GUILLERMO KAELIN DE LA FUENTE</t>
  </si>
  <si>
    <t>697</t>
  </si>
  <si>
    <t>HOSPITAL GERIATRICO MUNICIPAL</t>
  </si>
  <si>
    <t>Convenio de Cooperación Interinstitucional entre el Seguro Social de Salud - R.A. Arequipa y la Municipalidad Provincial de Arequipa- Hospital Geriátrico Municipal/2 (24/7/2018)</t>
  </si>
  <si>
    <t>817</t>
  </si>
  <si>
    <t>HOSPITAL PRIVADO DEL PERU</t>
  </si>
  <si>
    <t>Contratación de Piura-Essalud con Institución Prestadora de Servicios de salud (IPRESS) Hospital Privado del Perú S.A.C. (21-06-16)</t>
  </si>
  <si>
    <t>827</t>
  </si>
  <si>
    <t xml:space="preserve">INMACULADA CONCEPCION </t>
  </si>
  <si>
    <t>Contratación de Piura-Essalud con Institución Prestadora de Servicios de salud (IPRESS)Clínica Inmaculada Concepciòn  S.A.C. (27-12-19)</t>
  </si>
  <si>
    <t>825</t>
  </si>
  <si>
    <t>HOSPITAL UNIVERSITARIO</t>
  </si>
  <si>
    <t>Convenio de Cooperación Institucional entre EsSalud Red Asistencial Piura-Essalud y la Universidad Nacional de Piura - Hospital Universitario (4-11-19)</t>
  </si>
  <si>
    <t>ESSALUD: CENTROS ASISTENCIALES DE SALUD SEGÚN  NIVELES DE ATENCIÓN</t>
  </si>
  <si>
    <t>NIVEL III</t>
  </si>
  <si>
    <t>NIVEL II</t>
  </si>
  <si>
    <t xml:space="preserve">TOTAL : </t>
  </si>
  <si>
    <t>NIVEL I</t>
  </si>
  <si>
    <t xml:space="preserve">OFERTA EXTRAINSTITUCIONAL </t>
  </si>
  <si>
    <t>ESSALUD : ESTABLECIMIENTOS DE SALUD POR TIPO DE ESTABLECIMIENTO SEGÚN REDES ASISTENCIALES, INSTITUTOS Y CENTROS ESPECIALIZADOS</t>
  </si>
  <si>
    <t>REDES ASISTENCIALES INSTITUTOS Y CENTROS ESPECIALIZADOS</t>
  </si>
  <si>
    <t>TOTAL</t>
  </si>
  <si>
    <t>TIPO DE ESTABLECIMIENTO</t>
  </si>
  <si>
    <t>CENTROS ESPECIALIZADOS</t>
  </si>
  <si>
    <t>H.N</t>
  </si>
  <si>
    <t>POLICLINICOS</t>
  </si>
  <si>
    <t>CENTROS MEDICOS</t>
  </si>
  <si>
    <t>POSTAS MEDICAS</t>
  </si>
  <si>
    <t>CENTRO DE ATENCION PRIMARIA</t>
  </si>
  <si>
    <t>CAP III</t>
  </si>
  <si>
    <t>CAP II</t>
  </si>
  <si>
    <t>CAP I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</si>
  <si>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</si>
  <si>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</si>
  <si>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</si>
  <si>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</si>
  <si>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</si>
  <si>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</si>
  <si>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</si>
  <si>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</si>
  <si>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</si>
  <si>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</si>
  <si>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</si>
  <si>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</si>
  <si>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</si>
  <si>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</si>
  <si>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</si>
  <si>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OFERTA EXTRAINSTITUCIONAL:  IPRESS PRIVADAS, APP</t>
  </si>
  <si>
    <t>REDES ASISTENCIALES</t>
  </si>
  <si>
    <t>(*)</t>
  </si>
  <si>
    <t>* Incluye 2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</si>
</sst>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3F3F3F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3EEFD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2" borderId="1" applyNumberFormat="0" applyFont="0" applyAlignment="0" applyProtection="0"/>
    <xf numFmtId="0" fontId="9" fillId="5" borderId="3" applyNumberFormat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</cellStyleXfs>
  <cellXfs count="67">
    <xf numFmtId="0" fontId="0" fillId="0" borderId="0" xfId="0"/>
    <xf numFmtId="0" fontId="0" fillId="3" borderId="0" xfId="0" applyFill="1"/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/>
    <xf numFmtId="0" fontId="7" fillId="0" borderId="0" xfId="0" applyFont="1"/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8" fillId="3" borderId="0" xfId="0" applyFont="1" applyFill="1"/>
    <xf numFmtId="0" fontId="12" fillId="4" borderId="0" xfId="0" applyFont="1" applyFill="1" applyAlignment="1">
      <alignment horizontal="center" vertical="center" wrapText="1"/>
    </xf>
    <xf numFmtId="0" fontId="4" fillId="6" borderId="0" xfId="6" applyFont="1" applyAlignment="1">
      <alignment horizontal="center" vertical="center" wrapText="1"/>
    </xf>
    <xf numFmtId="0" fontId="7" fillId="3" borderId="0" xfId="0" applyFont="1" applyFill="1"/>
    <xf numFmtId="0" fontId="14" fillId="0" borderId="0" xfId="0" applyFont="1"/>
    <xf numFmtId="0" fontId="8" fillId="3" borderId="0" xfId="0" applyFont="1" applyFill="1" applyAlignment="1">
      <alignment wrapText="1"/>
    </xf>
    <xf numFmtId="0" fontId="0" fillId="3" borderId="0" xfId="0" applyFill="1" applyAlignment="1">
      <alignment horizontal="center"/>
    </xf>
    <xf numFmtId="17" fontId="7" fillId="3" borderId="0" xfId="0" quotePrefix="1" applyNumberFormat="1" applyFont="1" applyFill="1"/>
    <xf numFmtId="0" fontId="15" fillId="3" borderId="0" xfId="0" applyFont="1" applyFill="1" applyAlignment="1">
      <alignment horizontal="right"/>
    </xf>
    <xf numFmtId="0" fontId="15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 vertical="center"/>
    </xf>
    <xf numFmtId="0" fontId="18" fillId="3" borderId="0" xfId="0" applyFont="1" applyFill="1"/>
    <xf numFmtId="0" fontId="19" fillId="3" borderId="0" xfId="0" applyFont="1" applyFill="1"/>
    <xf numFmtId="0" fontId="9" fillId="0" borderId="0" xfId="5" applyFill="1" applyBorder="1"/>
    <xf numFmtId="0" fontId="13" fillId="0" borderId="0" xfId="5" applyFont="1" applyFill="1" applyBorder="1"/>
    <xf numFmtId="0" fontId="4" fillId="0" borderId="0" xfId="7" applyFont="1" applyFill="1" applyBorder="1"/>
    <xf numFmtId="0" fontId="16" fillId="0" borderId="0" xfId="0" applyFont="1" applyAlignment="1">
      <alignment horizontal="center"/>
    </xf>
    <xf numFmtId="0" fontId="15" fillId="8" borderId="0" xfId="0" applyFont="1" applyFill="1"/>
    <xf numFmtId="0" fontId="15" fillId="8" borderId="0" xfId="0" applyFont="1" applyFill="1" applyAlignment="1">
      <alignment horizontal="left" vertical="center"/>
    </xf>
    <xf numFmtId="0" fontId="4" fillId="0" borderId="0" xfId="6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/>
    <xf numFmtId="17" fontId="16" fillId="0" borderId="0" xfId="0" quotePrefix="1" applyNumberFormat="1" applyFont="1"/>
    <xf numFmtId="17" fontId="16" fillId="3" borderId="0" xfId="0" quotePrefix="1" applyNumberFormat="1" applyFont="1" applyFill="1"/>
    <xf numFmtId="0" fontId="16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20" fillId="3" borderId="0" xfId="0" applyFont="1" applyFill="1"/>
    <xf numFmtId="0" fontId="21" fillId="3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/>
    </xf>
    <xf numFmtId="0" fontId="7" fillId="0" borderId="0" xfId="0" applyFont="1" applyAlignment="1">
      <alignment horizontal="center"/>
    </xf>
    <xf numFmtId="0" fontId="4" fillId="6" borderId="0" xfId="6" applyFont="1" applyAlignment="1">
      <alignment horizontal="center" vertical="center" wrapText="1"/>
    </xf>
    <xf numFmtId="0" fontId="4" fillId="0" borderId="0" xfId="6" applyFont="1" applyFill="1" applyBorder="1" applyAlignment="1">
      <alignment horizontal="center" vertical="center" wrapText="1"/>
    </xf>
    <xf numFmtId="0" fontId="4" fillId="6" borderId="2" xfId="6" applyFont="1" applyBorder="1" applyAlignment="1">
      <alignment horizontal="center" vertical="center"/>
    </xf>
    <xf numFmtId="0" fontId="11" fillId="0" borderId="0" xfId="7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17" fontId="16" fillId="0" borderId="0" xfId="0" quotePrefix="1" applyNumberFormat="1" applyFont="1" applyAlignment="1">
      <alignment horizontal="center"/>
    </xf>
    <xf numFmtId="0" fontId="16" fillId="3" borderId="0" xfId="0" applyFont="1" applyFill="1" applyAlignment="1">
      <alignment horizontal="center"/>
    </xf>
    <xf numFmtId="17" fontId="16" fillId="3" borderId="0" xfId="0" quotePrefix="1" applyNumberFormat="1" applyFont="1" applyFill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</cellXfs>
  <cellStyles count="8">
    <cellStyle name="Énfasis1" xfId="6" builtinId="29"/>
    <cellStyle name="Énfasis2" xfId="7" builtinId="33"/>
    <cellStyle name="Hipervínculo 2" xfId="3" xr:uid="{00000000-0005-0000-0000-000002000000}"/>
    <cellStyle name="Normal" xfId="0" builtinId="0"/>
    <cellStyle name="Normal 2" xfId="1" xr:uid="{00000000-0005-0000-0000-000004000000}"/>
    <cellStyle name="Normal 3" xfId="2" xr:uid="{00000000-0005-0000-0000-000005000000}"/>
    <cellStyle name="Notas 2" xfId="4" xr:uid="{00000000-0005-0000-0000-000006000000}"/>
    <cellStyle name="Salida" xfId="5" builtinId="21"/>
  </cellStyles>
  <dxfs count="79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rgb="FFC3EEFD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z val="10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C3EEFD"/>
      <color rgb="FFAEE8FC"/>
      <color rgb="FFB9D0FF"/>
      <color rgb="FFD9FFEC"/>
      <color rgb="FF3459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62258289142428"/>
          <c:y val="0.45770935695495357"/>
          <c:w val="0.87437751531058616"/>
          <c:h val="0.2005689312952260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numCol="1" spcCol="108000" anchor="t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(Niveles!$C$14,Niveles!$C$32,Niveles!$C$125)</c:f>
              <c:strCache>
                <c:ptCount val="2"/>
                <c:pt idx="0">
                  <c:v>NIVEL III</c:v>
                </c:pt>
                <c:pt idx="1">
                  <c:v>NIVEL II</c:v>
                </c:pt>
              </c:strCache>
            </c:strRef>
          </c:xVal>
          <c:yVal>
            <c:numRef>
              <c:f>(Niveles!$D$14,Niveles!$D$32,Niveles!$D$125)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29-49FD-B7B5-64E3EA669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414816"/>
        <c:axId val="434411008"/>
      </c:scatterChart>
      <c:valAx>
        <c:axId val="434414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4411008"/>
        <c:crosses val="autoZero"/>
        <c:crossBetween val="midCat"/>
      </c:valAx>
      <c:valAx>
        <c:axId val="434411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4414816"/>
        <c:crosses val="autoZero"/>
        <c:crossBetween val="midCat"/>
      </c:valAx>
      <c:spPr>
        <a:noFill/>
        <a:ln w="25400">
          <a:noFill/>
        </a:ln>
        <a:effectLst>
          <a:outerShdw blurRad="50800" dist="50800" algn="ctr" rotWithShape="0">
            <a:schemeClr val="bg1">
              <a:alpha val="43000"/>
            </a:schemeClr>
          </a:outerShdw>
        </a:effectLst>
      </c:spPr>
    </c:plotArea>
    <c:plotVisOnly val="1"/>
    <c:dispBlanksAs val="gap"/>
    <c:showDLblsOverMax val="0"/>
  </c:chart>
  <c:spPr>
    <a:noFill/>
    <a:ln w="15875" cap="flat" cmpd="dbl" algn="ctr">
      <a:noFill/>
      <a:round/>
    </a:ln>
    <a:effectLst/>
  </c:spPr>
  <c:txPr>
    <a:bodyPr rot="0" vert="wordArtVert" anchor="ctr" anchorCtr="1"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Niveles!C431"/><Relationship Id="rId13" Type="http://schemas.openxmlformats.org/officeDocument/2006/relationships/image" Target="../media/image7.png"/><Relationship Id="rId3" Type="http://schemas.openxmlformats.org/officeDocument/2006/relationships/hyperlink" Target="#Redes!A1"/><Relationship Id="rId7" Type="http://schemas.openxmlformats.org/officeDocument/2006/relationships/hyperlink" Target="#CentrosFuncional!A413"/><Relationship Id="rId12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hyperlink" Target="#Redes!B68"/><Relationship Id="rId11" Type="http://schemas.openxmlformats.org/officeDocument/2006/relationships/image" Target="../media/image5.png"/><Relationship Id="rId5" Type="http://schemas.openxmlformats.org/officeDocument/2006/relationships/hyperlink" Target="#Niveles!A1"/><Relationship Id="rId10" Type="http://schemas.openxmlformats.org/officeDocument/2006/relationships/image" Target="../media/image4.png"/><Relationship Id="rId4" Type="http://schemas.openxmlformats.org/officeDocument/2006/relationships/hyperlink" Target="#CentrosFuncional!A1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hyperlink" Target="#Men&#250;!A1"/><Relationship Id="rId1" Type="http://schemas.openxmlformats.org/officeDocument/2006/relationships/image" Target="../media/image8.jpe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11.png"/><Relationship Id="rId7" Type="http://schemas.openxmlformats.org/officeDocument/2006/relationships/image" Target="../media/image13.PNG"/><Relationship Id="rId2" Type="http://schemas.openxmlformats.org/officeDocument/2006/relationships/hyperlink" Target="#Men&#250;!A1"/><Relationship Id="rId1" Type="http://schemas.openxmlformats.org/officeDocument/2006/relationships/image" Target="../media/image8.jpeg"/><Relationship Id="rId6" Type="http://schemas.openxmlformats.org/officeDocument/2006/relationships/image" Target="../media/image12.PNG"/><Relationship Id="rId5" Type="http://schemas.openxmlformats.org/officeDocument/2006/relationships/chart" Target="../charts/chart1.xml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hyperlink" Target="#Men&#250;!A1"/><Relationship Id="rId1" Type="http://schemas.openxmlformats.org/officeDocument/2006/relationships/image" Target="../media/image8.jpe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644411</xdr:colOff>
      <xdr:row>61</xdr:row>
      <xdr:rowOff>52917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40744" cy="7672917"/>
        </a:xfrm>
        <a:prstGeom prst="rect">
          <a:avLst/>
        </a:prstGeom>
      </xdr:spPr>
    </xdr:pic>
    <xdr:clientData/>
  </xdr:twoCellAnchor>
  <xdr:twoCellAnchor>
    <xdr:from>
      <xdr:col>0</xdr:col>
      <xdr:colOff>76201</xdr:colOff>
      <xdr:row>0</xdr:row>
      <xdr:rowOff>10582</xdr:rowOff>
    </xdr:from>
    <xdr:to>
      <xdr:col>1</xdr:col>
      <xdr:colOff>681439</xdr:colOff>
      <xdr:row>3</xdr:row>
      <xdr:rowOff>21165</xdr:rowOff>
    </xdr:to>
    <xdr:pic>
      <xdr:nvPicPr>
        <xdr:cNvPr id="5" name="Imagen 4" descr="LOGO NUEVO ESSALUD-01-0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0582"/>
          <a:ext cx="1377821" cy="5820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624416</xdr:colOff>
      <xdr:row>1</xdr:row>
      <xdr:rowOff>131608</xdr:rowOff>
    </xdr:from>
    <xdr:to>
      <xdr:col>16</xdr:col>
      <xdr:colOff>296333</xdr:colOff>
      <xdr:row>3</xdr:row>
      <xdr:rowOff>130172</xdr:rowOff>
    </xdr:to>
    <xdr:sp macro="" textlink="">
      <xdr:nvSpPr>
        <xdr:cNvPr id="9" name="Rectangle 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1599333" y="322108"/>
          <a:ext cx="1989667" cy="379564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txBody>
        <a:bodyPr vertOverflow="clip" wrap="square" lIns="27432" tIns="27432" rIns="27432" bIns="0" anchor="ctr" upright="1"/>
        <a:lstStyle/>
        <a:p>
          <a:pPr algn="r" rtl="1">
            <a:defRPr sz="1000"/>
          </a:pPr>
          <a:r>
            <a:rPr lang="es-ES" sz="1500" b="1" i="0" strike="noStrike" baseline="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JULIO 2025</a:t>
          </a:r>
        </a:p>
      </xdr:txBody>
    </xdr:sp>
    <xdr:clientData/>
  </xdr:twoCellAnchor>
  <xdr:twoCellAnchor>
    <xdr:from>
      <xdr:col>1</xdr:col>
      <xdr:colOff>402167</xdr:colOff>
      <xdr:row>9</xdr:row>
      <xdr:rowOff>116417</xdr:rowOff>
    </xdr:from>
    <xdr:to>
      <xdr:col>3</xdr:col>
      <xdr:colOff>592667</xdr:colOff>
      <xdr:row>18</xdr:row>
      <xdr:rowOff>179917</xdr:rowOff>
    </xdr:to>
    <xdr:sp macro="" textlink="">
      <xdr:nvSpPr>
        <xdr:cNvPr id="10" name="Forma libre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74750" y="1830917"/>
          <a:ext cx="1735667" cy="1778000"/>
        </a:xfrm>
        <a:custGeom>
          <a:avLst/>
          <a:gdLst>
            <a:gd name="connsiteX0" fmla="*/ 285750 w 1735667"/>
            <a:gd name="connsiteY0" fmla="*/ 317500 h 1778000"/>
            <a:gd name="connsiteX1" fmla="*/ 1248833 w 1735667"/>
            <a:gd name="connsiteY1" fmla="*/ 0 h 1778000"/>
            <a:gd name="connsiteX2" fmla="*/ 1735667 w 1735667"/>
            <a:gd name="connsiteY2" fmla="*/ 1174750 h 1778000"/>
            <a:gd name="connsiteX3" fmla="*/ 1132417 w 1735667"/>
            <a:gd name="connsiteY3" fmla="*/ 1778000 h 1778000"/>
            <a:gd name="connsiteX4" fmla="*/ 0 w 1735667"/>
            <a:gd name="connsiteY4" fmla="*/ 1301750 h 1778000"/>
            <a:gd name="connsiteX5" fmla="*/ 285750 w 1735667"/>
            <a:gd name="connsiteY5" fmla="*/ 317500 h 177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735667" h="1778000">
              <a:moveTo>
                <a:pt x="285750" y="317500"/>
              </a:moveTo>
              <a:lnTo>
                <a:pt x="1248833" y="0"/>
              </a:lnTo>
              <a:lnTo>
                <a:pt x="1735667" y="1174750"/>
              </a:lnTo>
              <a:lnTo>
                <a:pt x="1132417" y="1778000"/>
              </a:lnTo>
              <a:lnTo>
                <a:pt x="0" y="1301750"/>
              </a:lnTo>
              <a:lnTo>
                <a:pt x="285750" y="317500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448735</xdr:colOff>
      <xdr:row>12</xdr:row>
      <xdr:rowOff>31749</xdr:rowOff>
    </xdr:from>
    <xdr:to>
      <xdr:col>3</xdr:col>
      <xdr:colOff>243418</xdr:colOff>
      <xdr:row>16</xdr:row>
      <xdr:rowOff>74082</xdr:rowOff>
    </xdr:to>
    <xdr:sp macro="" textlink="">
      <xdr:nvSpPr>
        <xdr:cNvPr id="24" name="Forma libre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21318" y="2317749"/>
          <a:ext cx="1339850" cy="804333"/>
        </a:xfrm>
        <a:custGeom>
          <a:avLst/>
          <a:gdLst>
            <a:gd name="connsiteX0" fmla="*/ 285750 w 1735667"/>
            <a:gd name="connsiteY0" fmla="*/ 317500 h 1778000"/>
            <a:gd name="connsiteX1" fmla="*/ 1248833 w 1735667"/>
            <a:gd name="connsiteY1" fmla="*/ 0 h 1778000"/>
            <a:gd name="connsiteX2" fmla="*/ 1735667 w 1735667"/>
            <a:gd name="connsiteY2" fmla="*/ 1174750 h 1778000"/>
            <a:gd name="connsiteX3" fmla="*/ 1132417 w 1735667"/>
            <a:gd name="connsiteY3" fmla="*/ 1778000 h 1778000"/>
            <a:gd name="connsiteX4" fmla="*/ 0 w 1735667"/>
            <a:gd name="connsiteY4" fmla="*/ 1301750 h 1778000"/>
            <a:gd name="connsiteX5" fmla="*/ 285750 w 1735667"/>
            <a:gd name="connsiteY5" fmla="*/ 317500 h 177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735667" h="1778000">
              <a:moveTo>
                <a:pt x="285750" y="317500"/>
              </a:moveTo>
              <a:lnTo>
                <a:pt x="1248833" y="0"/>
              </a:lnTo>
              <a:lnTo>
                <a:pt x="1735667" y="1174750"/>
              </a:lnTo>
              <a:lnTo>
                <a:pt x="1132417" y="1778000"/>
              </a:lnTo>
              <a:lnTo>
                <a:pt x="0" y="1301750"/>
              </a:lnTo>
              <a:lnTo>
                <a:pt x="285750" y="317500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698500</xdr:colOff>
      <xdr:row>20</xdr:row>
      <xdr:rowOff>21168</xdr:rowOff>
    </xdr:from>
    <xdr:to>
      <xdr:col>2</xdr:col>
      <xdr:colOff>359833</xdr:colOff>
      <xdr:row>24</xdr:row>
      <xdr:rowOff>52918</xdr:rowOff>
    </xdr:to>
    <xdr:sp macro="" textlink="">
      <xdr:nvSpPr>
        <xdr:cNvPr id="11" name="Forma libre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98500" y="3831168"/>
          <a:ext cx="1206500" cy="793750"/>
        </a:xfrm>
        <a:custGeom>
          <a:avLst/>
          <a:gdLst>
            <a:gd name="connsiteX0" fmla="*/ 465667 w 1629834"/>
            <a:gd name="connsiteY0" fmla="*/ 0 h 1883833"/>
            <a:gd name="connsiteX1" fmla="*/ 1629834 w 1629834"/>
            <a:gd name="connsiteY1" fmla="*/ 476250 h 1883833"/>
            <a:gd name="connsiteX2" fmla="*/ 1566334 w 1629834"/>
            <a:gd name="connsiteY2" fmla="*/ 1375833 h 1883833"/>
            <a:gd name="connsiteX3" fmla="*/ 444500 w 1629834"/>
            <a:gd name="connsiteY3" fmla="*/ 1883833 h 1883833"/>
            <a:gd name="connsiteX4" fmla="*/ 0 w 1629834"/>
            <a:gd name="connsiteY4" fmla="*/ 920750 h 1883833"/>
            <a:gd name="connsiteX5" fmla="*/ 465667 w 1629834"/>
            <a:gd name="connsiteY5" fmla="*/ 0 h 18838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629834" h="1883833">
              <a:moveTo>
                <a:pt x="465667" y="0"/>
              </a:moveTo>
              <a:lnTo>
                <a:pt x="1629834" y="476250"/>
              </a:lnTo>
              <a:lnTo>
                <a:pt x="1566334" y="1375833"/>
              </a:lnTo>
              <a:lnTo>
                <a:pt x="444500" y="1883833"/>
              </a:lnTo>
              <a:lnTo>
                <a:pt x="0" y="920750"/>
              </a:lnTo>
              <a:lnTo>
                <a:pt x="465667" y="0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518585</xdr:colOff>
      <xdr:row>28</xdr:row>
      <xdr:rowOff>74083</xdr:rowOff>
    </xdr:from>
    <xdr:to>
      <xdr:col>3</xdr:col>
      <xdr:colOff>338668</xdr:colOff>
      <xdr:row>32</xdr:row>
      <xdr:rowOff>95251</xdr:rowOff>
    </xdr:to>
    <xdr:sp macro="" textlink="">
      <xdr:nvSpPr>
        <xdr:cNvPr id="12" name="Forma libre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291168" y="5408083"/>
          <a:ext cx="1365250" cy="783168"/>
        </a:xfrm>
        <a:custGeom>
          <a:avLst/>
          <a:gdLst>
            <a:gd name="connsiteX0" fmla="*/ 1153583 w 1788583"/>
            <a:gd name="connsiteY0" fmla="*/ 0 h 1809750"/>
            <a:gd name="connsiteX1" fmla="*/ 1153583 w 1788583"/>
            <a:gd name="connsiteY1" fmla="*/ 0 h 1809750"/>
            <a:gd name="connsiteX2" fmla="*/ 1174750 w 1788583"/>
            <a:gd name="connsiteY2" fmla="*/ 116417 h 1809750"/>
            <a:gd name="connsiteX3" fmla="*/ 1195916 w 1788583"/>
            <a:gd name="connsiteY3" fmla="*/ 148167 h 1809750"/>
            <a:gd name="connsiteX4" fmla="*/ 1206500 w 1788583"/>
            <a:gd name="connsiteY4" fmla="*/ 179917 h 1809750"/>
            <a:gd name="connsiteX5" fmla="*/ 1227666 w 1788583"/>
            <a:gd name="connsiteY5" fmla="*/ 211667 h 1809750"/>
            <a:gd name="connsiteX6" fmla="*/ 1238250 w 1788583"/>
            <a:gd name="connsiteY6" fmla="*/ 243417 h 1809750"/>
            <a:gd name="connsiteX7" fmla="*/ 1270000 w 1788583"/>
            <a:gd name="connsiteY7" fmla="*/ 264583 h 1809750"/>
            <a:gd name="connsiteX8" fmla="*/ 1301750 w 1788583"/>
            <a:gd name="connsiteY8" fmla="*/ 296333 h 1809750"/>
            <a:gd name="connsiteX9" fmla="*/ 1322916 w 1788583"/>
            <a:gd name="connsiteY9" fmla="*/ 328083 h 1809750"/>
            <a:gd name="connsiteX10" fmla="*/ 1386416 w 1788583"/>
            <a:gd name="connsiteY10" fmla="*/ 370417 h 1809750"/>
            <a:gd name="connsiteX11" fmla="*/ 1418166 w 1788583"/>
            <a:gd name="connsiteY11" fmla="*/ 402167 h 1809750"/>
            <a:gd name="connsiteX12" fmla="*/ 1502833 w 1788583"/>
            <a:gd name="connsiteY12" fmla="*/ 465667 h 1809750"/>
            <a:gd name="connsiteX13" fmla="*/ 1545166 w 1788583"/>
            <a:gd name="connsiteY13" fmla="*/ 497417 h 1809750"/>
            <a:gd name="connsiteX14" fmla="*/ 1566333 w 1788583"/>
            <a:gd name="connsiteY14" fmla="*/ 529167 h 1809750"/>
            <a:gd name="connsiteX15" fmla="*/ 1608666 w 1788583"/>
            <a:gd name="connsiteY15" fmla="*/ 550333 h 1809750"/>
            <a:gd name="connsiteX16" fmla="*/ 1672166 w 1788583"/>
            <a:gd name="connsiteY16" fmla="*/ 592667 h 1809750"/>
            <a:gd name="connsiteX17" fmla="*/ 1703916 w 1788583"/>
            <a:gd name="connsiteY17" fmla="*/ 613833 h 1809750"/>
            <a:gd name="connsiteX18" fmla="*/ 1735666 w 1788583"/>
            <a:gd name="connsiteY18" fmla="*/ 624417 h 1809750"/>
            <a:gd name="connsiteX19" fmla="*/ 1788583 w 1788583"/>
            <a:gd name="connsiteY19" fmla="*/ 656167 h 1809750"/>
            <a:gd name="connsiteX20" fmla="*/ 1312333 w 1788583"/>
            <a:gd name="connsiteY20" fmla="*/ 1809750 h 1809750"/>
            <a:gd name="connsiteX21" fmla="*/ 317500 w 1788583"/>
            <a:gd name="connsiteY21" fmla="*/ 1449917 h 1809750"/>
            <a:gd name="connsiteX22" fmla="*/ 0 w 1788583"/>
            <a:gd name="connsiteY22" fmla="*/ 486833 h 1809750"/>
            <a:gd name="connsiteX23" fmla="*/ 1153583 w 1788583"/>
            <a:gd name="connsiteY23" fmla="*/ 0 h 18097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</a:cxnLst>
          <a:rect l="l" t="t" r="r" b="b"/>
          <a:pathLst>
            <a:path w="1788583" h="1809750">
              <a:moveTo>
                <a:pt x="1153583" y="0"/>
              </a:moveTo>
              <a:lnTo>
                <a:pt x="1153583" y="0"/>
              </a:lnTo>
              <a:cubicBezTo>
                <a:pt x="1160639" y="38806"/>
                <a:pt x="1163915" y="78493"/>
                <a:pt x="1174750" y="116417"/>
              </a:cubicBezTo>
              <a:cubicBezTo>
                <a:pt x="1178244" y="128647"/>
                <a:pt x="1190228" y="136790"/>
                <a:pt x="1195916" y="148167"/>
              </a:cubicBezTo>
              <a:cubicBezTo>
                <a:pt x="1200905" y="158145"/>
                <a:pt x="1201511" y="169939"/>
                <a:pt x="1206500" y="179917"/>
              </a:cubicBezTo>
              <a:cubicBezTo>
                <a:pt x="1212188" y="191294"/>
                <a:pt x="1221978" y="200290"/>
                <a:pt x="1227666" y="211667"/>
              </a:cubicBezTo>
              <a:cubicBezTo>
                <a:pt x="1232655" y="221645"/>
                <a:pt x="1231281" y="234706"/>
                <a:pt x="1238250" y="243417"/>
              </a:cubicBezTo>
              <a:cubicBezTo>
                <a:pt x="1246196" y="253349"/>
                <a:pt x="1260229" y="256440"/>
                <a:pt x="1270000" y="264583"/>
              </a:cubicBezTo>
              <a:cubicBezTo>
                <a:pt x="1281498" y="274165"/>
                <a:pt x="1292168" y="284835"/>
                <a:pt x="1301750" y="296333"/>
              </a:cubicBezTo>
              <a:cubicBezTo>
                <a:pt x="1309893" y="306104"/>
                <a:pt x="1313344" y="319707"/>
                <a:pt x="1322916" y="328083"/>
              </a:cubicBezTo>
              <a:cubicBezTo>
                <a:pt x="1342061" y="344835"/>
                <a:pt x="1366336" y="354799"/>
                <a:pt x="1386416" y="370417"/>
              </a:cubicBezTo>
              <a:cubicBezTo>
                <a:pt x="1398230" y="379606"/>
                <a:pt x="1406582" y="392689"/>
                <a:pt x="1418166" y="402167"/>
              </a:cubicBezTo>
              <a:cubicBezTo>
                <a:pt x="1445470" y="424506"/>
                <a:pt x="1474611" y="444500"/>
                <a:pt x="1502833" y="465667"/>
              </a:cubicBezTo>
              <a:cubicBezTo>
                <a:pt x="1516944" y="476250"/>
                <a:pt x="1535382" y="482741"/>
                <a:pt x="1545166" y="497417"/>
              </a:cubicBezTo>
              <a:cubicBezTo>
                <a:pt x="1552222" y="508000"/>
                <a:pt x="1556561" y="521024"/>
                <a:pt x="1566333" y="529167"/>
              </a:cubicBezTo>
              <a:cubicBezTo>
                <a:pt x="1578453" y="539267"/>
                <a:pt x="1595138" y="542216"/>
                <a:pt x="1608666" y="550333"/>
              </a:cubicBezTo>
              <a:cubicBezTo>
                <a:pt x="1630480" y="563421"/>
                <a:pt x="1650999" y="578556"/>
                <a:pt x="1672166" y="592667"/>
              </a:cubicBezTo>
              <a:cubicBezTo>
                <a:pt x="1682749" y="599722"/>
                <a:pt x="1691849" y="609811"/>
                <a:pt x="1703916" y="613833"/>
              </a:cubicBezTo>
              <a:lnTo>
                <a:pt x="1735666" y="624417"/>
              </a:lnTo>
              <a:cubicBezTo>
                <a:pt x="1762704" y="664973"/>
                <a:pt x="1744113" y="656167"/>
                <a:pt x="1788583" y="656167"/>
              </a:cubicBezTo>
              <a:lnTo>
                <a:pt x="1312333" y="1809750"/>
              </a:lnTo>
              <a:lnTo>
                <a:pt x="317500" y="1449917"/>
              </a:lnTo>
              <a:lnTo>
                <a:pt x="0" y="486833"/>
              </a:lnTo>
              <a:lnTo>
                <a:pt x="1153583" y="0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1259417</xdr:colOff>
      <xdr:row>12</xdr:row>
      <xdr:rowOff>42332</xdr:rowOff>
    </xdr:from>
    <xdr:to>
      <xdr:col>8</xdr:col>
      <xdr:colOff>84667</xdr:colOff>
      <xdr:row>15</xdr:row>
      <xdr:rowOff>137583</xdr:rowOff>
    </xdr:to>
    <xdr:sp macro="" textlink="">
      <xdr:nvSpPr>
        <xdr:cNvPr id="13" name="Forma libr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894917" y="2328332"/>
          <a:ext cx="1270000" cy="666751"/>
        </a:xfrm>
        <a:custGeom>
          <a:avLst/>
          <a:gdLst>
            <a:gd name="connsiteX0" fmla="*/ 444500 w 1767416"/>
            <a:gd name="connsiteY0" fmla="*/ 0 h 1778000"/>
            <a:gd name="connsiteX1" fmla="*/ 1428750 w 1767416"/>
            <a:gd name="connsiteY1" fmla="*/ 328083 h 1778000"/>
            <a:gd name="connsiteX2" fmla="*/ 1767416 w 1767416"/>
            <a:gd name="connsiteY2" fmla="*/ 1312333 h 1778000"/>
            <a:gd name="connsiteX3" fmla="*/ 603250 w 1767416"/>
            <a:gd name="connsiteY3" fmla="*/ 1778000 h 1778000"/>
            <a:gd name="connsiteX4" fmla="*/ 0 w 1767416"/>
            <a:gd name="connsiteY4" fmla="*/ 1174750 h 1778000"/>
            <a:gd name="connsiteX5" fmla="*/ 444500 w 1767416"/>
            <a:gd name="connsiteY5" fmla="*/ 0 h 177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767416" h="1778000">
              <a:moveTo>
                <a:pt x="444500" y="0"/>
              </a:moveTo>
              <a:lnTo>
                <a:pt x="1428750" y="328083"/>
              </a:lnTo>
              <a:lnTo>
                <a:pt x="1767416" y="1312333"/>
              </a:lnTo>
              <a:lnTo>
                <a:pt x="603250" y="1778000"/>
              </a:lnTo>
              <a:lnTo>
                <a:pt x="0" y="1174750"/>
              </a:lnTo>
              <a:lnTo>
                <a:pt x="444500" y="0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666749</xdr:colOff>
      <xdr:row>19</xdr:row>
      <xdr:rowOff>116417</xdr:rowOff>
    </xdr:from>
    <xdr:to>
      <xdr:col>8</xdr:col>
      <xdr:colOff>772582</xdr:colOff>
      <xdr:row>24</xdr:row>
      <xdr:rowOff>31750</xdr:rowOff>
    </xdr:to>
    <xdr:sp macro="" textlink="">
      <xdr:nvSpPr>
        <xdr:cNvPr id="14" name="Forma libre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03999" y="3735917"/>
          <a:ext cx="1248833" cy="867833"/>
        </a:xfrm>
        <a:custGeom>
          <a:avLst/>
          <a:gdLst>
            <a:gd name="connsiteX0" fmla="*/ 1121833 w 1576916"/>
            <a:gd name="connsiteY0" fmla="*/ 0 h 1883834"/>
            <a:gd name="connsiteX1" fmla="*/ 1121833 w 1576916"/>
            <a:gd name="connsiteY1" fmla="*/ 0 h 1883834"/>
            <a:gd name="connsiteX2" fmla="*/ 1164166 w 1576916"/>
            <a:gd name="connsiteY2" fmla="*/ 105834 h 1883834"/>
            <a:gd name="connsiteX3" fmla="*/ 1174750 w 1576916"/>
            <a:gd name="connsiteY3" fmla="*/ 148167 h 1883834"/>
            <a:gd name="connsiteX4" fmla="*/ 1185333 w 1576916"/>
            <a:gd name="connsiteY4" fmla="*/ 179917 h 1883834"/>
            <a:gd name="connsiteX5" fmla="*/ 1195916 w 1576916"/>
            <a:gd name="connsiteY5" fmla="*/ 222250 h 1883834"/>
            <a:gd name="connsiteX6" fmla="*/ 1217083 w 1576916"/>
            <a:gd name="connsiteY6" fmla="*/ 285750 h 1883834"/>
            <a:gd name="connsiteX7" fmla="*/ 1227666 w 1576916"/>
            <a:gd name="connsiteY7" fmla="*/ 328084 h 1883834"/>
            <a:gd name="connsiteX8" fmla="*/ 1259416 w 1576916"/>
            <a:gd name="connsiteY8" fmla="*/ 391584 h 1883834"/>
            <a:gd name="connsiteX9" fmla="*/ 1280583 w 1576916"/>
            <a:gd name="connsiteY9" fmla="*/ 465667 h 1883834"/>
            <a:gd name="connsiteX10" fmla="*/ 1291166 w 1576916"/>
            <a:gd name="connsiteY10" fmla="*/ 497417 h 1883834"/>
            <a:gd name="connsiteX11" fmla="*/ 1333500 w 1576916"/>
            <a:gd name="connsiteY11" fmla="*/ 571500 h 1883834"/>
            <a:gd name="connsiteX12" fmla="*/ 1354666 w 1576916"/>
            <a:gd name="connsiteY12" fmla="*/ 635000 h 1883834"/>
            <a:gd name="connsiteX13" fmla="*/ 1365250 w 1576916"/>
            <a:gd name="connsiteY13" fmla="*/ 666750 h 1883834"/>
            <a:gd name="connsiteX14" fmla="*/ 1386416 w 1576916"/>
            <a:gd name="connsiteY14" fmla="*/ 740834 h 1883834"/>
            <a:gd name="connsiteX15" fmla="*/ 1492250 w 1576916"/>
            <a:gd name="connsiteY15" fmla="*/ 867834 h 1883834"/>
            <a:gd name="connsiteX16" fmla="*/ 1524000 w 1576916"/>
            <a:gd name="connsiteY16" fmla="*/ 878417 h 1883834"/>
            <a:gd name="connsiteX17" fmla="*/ 1566333 w 1576916"/>
            <a:gd name="connsiteY17" fmla="*/ 941917 h 1883834"/>
            <a:gd name="connsiteX18" fmla="*/ 1576916 w 1576916"/>
            <a:gd name="connsiteY18" fmla="*/ 973667 h 1883834"/>
            <a:gd name="connsiteX19" fmla="*/ 1153583 w 1576916"/>
            <a:gd name="connsiteY19" fmla="*/ 1883834 h 1883834"/>
            <a:gd name="connsiteX20" fmla="*/ 0 w 1576916"/>
            <a:gd name="connsiteY20" fmla="*/ 1375834 h 1883834"/>
            <a:gd name="connsiteX21" fmla="*/ 10583 w 1576916"/>
            <a:gd name="connsiteY21" fmla="*/ 486834 h 1883834"/>
            <a:gd name="connsiteX22" fmla="*/ 1121833 w 1576916"/>
            <a:gd name="connsiteY22" fmla="*/ 0 h 18838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</a:cxnLst>
          <a:rect l="l" t="t" r="r" b="b"/>
          <a:pathLst>
            <a:path w="1576916" h="1883834">
              <a:moveTo>
                <a:pt x="1121833" y="0"/>
              </a:moveTo>
              <a:lnTo>
                <a:pt x="1121833" y="0"/>
              </a:lnTo>
              <a:cubicBezTo>
                <a:pt x="1135944" y="35278"/>
                <a:pt x="1151387" y="70052"/>
                <a:pt x="1164166" y="105834"/>
              </a:cubicBezTo>
              <a:cubicBezTo>
                <a:pt x="1169058" y="119532"/>
                <a:pt x="1170754" y="134181"/>
                <a:pt x="1174750" y="148167"/>
              </a:cubicBezTo>
              <a:cubicBezTo>
                <a:pt x="1177815" y="158894"/>
                <a:pt x="1182268" y="169190"/>
                <a:pt x="1185333" y="179917"/>
              </a:cubicBezTo>
              <a:cubicBezTo>
                <a:pt x="1189329" y="193903"/>
                <a:pt x="1191736" y="208318"/>
                <a:pt x="1195916" y="222250"/>
              </a:cubicBezTo>
              <a:cubicBezTo>
                <a:pt x="1202327" y="243621"/>
                <a:pt x="1211672" y="264104"/>
                <a:pt x="1217083" y="285750"/>
              </a:cubicBezTo>
              <a:cubicBezTo>
                <a:pt x="1220611" y="299861"/>
                <a:pt x="1222264" y="314579"/>
                <a:pt x="1227666" y="328084"/>
              </a:cubicBezTo>
              <a:cubicBezTo>
                <a:pt x="1236455" y="350056"/>
                <a:pt x="1249805" y="369959"/>
                <a:pt x="1259416" y="391584"/>
              </a:cubicBezTo>
              <a:cubicBezTo>
                <a:pt x="1269569" y="414427"/>
                <a:pt x="1273854" y="442115"/>
                <a:pt x="1280583" y="465667"/>
              </a:cubicBezTo>
              <a:cubicBezTo>
                <a:pt x="1283648" y="476394"/>
                <a:pt x="1286177" y="487439"/>
                <a:pt x="1291166" y="497417"/>
              </a:cubicBezTo>
              <a:cubicBezTo>
                <a:pt x="1329350" y="573784"/>
                <a:pt x="1296393" y="478731"/>
                <a:pt x="1333500" y="571500"/>
              </a:cubicBezTo>
              <a:cubicBezTo>
                <a:pt x="1341786" y="592216"/>
                <a:pt x="1347610" y="613833"/>
                <a:pt x="1354666" y="635000"/>
              </a:cubicBezTo>
              <a:cubicBezTo>
                <a:pt x="1358194" y="645583"/>
                <a:pt x="1362544" y="655927"/>
                <a:pt x="1365250" y="666750"/>
              </a:cubicBezTo>
              <a:cubicBezTo>
                <a:pt x="1367741" y="676714"/>
                <a:pt x="1379515" y="728412"/>
                <a:pt x="1386416" y="740834"/>
              </a:cubicBezTo>
              <a:cubicBezTo>
                <a:pt x="1401820" y="768561"/>
                <a:pt x="1461989" y="857747"/>
                <a:pt x="1492250" y="867834"/>
              </a:cubicBezTo>
              <a:lnTo>
                <a:pt x="1524000" y="878417"/>
              </a:lnTo>
              <a:cubicBezTo>
                <a:pt x="1538111" y="899584"/>
                <a:pt x="1558289" y="917783"/>
                <a:pt x="1566333" y="941917"/>
              </a:cubicBezTo>
              <a:lnTo>
                <a:pt x="1576916" y="973667"/>
              </a:lnTo>
              <a:lnTo>
                <a:pt x="1153583" y="1883834"/>
              </a:lnTo>
              <a:lnTo>
                <a:pt x="0" y="1375834"/>
              </a:lnTo>
              <a:lnTo>
                <a:pt x="10583" y="486834"/>
              </a:lnTo>
              <a:lnTo>
                <a:pt x="1121833" y="0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1248833</xdr:colOff>
      <xdr:row>28</xdr:row>
      <xdr:rowOff>179917</xdr:rowOff>
    </xdr:from>
    <xdr:to>
      <xdr:col>7</xdr:col>
      <xdr:colOff>1121833</xdr:colOff>
      <xdr:row>32</xdr:row>
      <xdr:rowOff>74083</xdr:rowOff>
    </xdr:to>
    <xdr:sp macro="" textlink="">
      <xdr:nvSpPr>
        <xdr:cNvPr id="15" name="Forma libre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884333" y="5513917"/>
          <a:ext cx="1174750" cy="656166"/>
        </a:xfrm>
        <a:custGeom>
          <a:avLst/>
          <a:gdLst>
            <a:gd name="connsiteX0" fmla="*/ 613834 w 1801174"/>
            <a:gd name="connsiteY0" fmla="*/ 0 h 1788583"/>
            <a:gd name="connsiteX1" fmla="*/ 613834 w 1801174"/>
            <a:gd name="connsiteY1" fmla="*/ 0 h 1788583"/>
            <a:gd name="connsiteX2" fmla="*/ 698500 w 1801174"/>
            <a:gd name="connsiteY2" fmla="*/ 31750 h 1788583"/>
            <a:gd name="connsiteX3" fmla="*/ 846667 w 1801174"/>
            <a:gd name="connsiteY3" fmla="*/ 74083 h 1788583"/>
            <a:gd name="connsiteX4" fmla="*/ 963084 w 1801174"/>
            <a:gd name="connsiteY4" fmla="*/ 127000 h 1788583"/>
            <a:gd name="connsiteX5" fmla="*/ 1026584 w 1801174"/>
            <a:gd name="connsiteY5" fmla="*/ 158750 h 1788583"/>
            <a:gd name="connsiteX6" fmla="*/ 1100667 w 1801174"/>
            <a:gd name="connsiteY6" fmla="*/ 179917 h 1788583"/>
            <a:gd name="connsiteX7" fmla="*/ 1164167 w 1801174"/>
            <a:gd name="connsiteY7" fmla="*/ 211667 h 1788583"/>
            <a:gd name="connsiteX8" fmla="*/ 1291167 w 1801174"/>
            <a:gd name="connsiteY8" fmla="*/ 243417 h 1788583"/>
            <a:gd name="connsiteX9" fmla="*/ 1333500 w 1801174"/>
            <a:gd name="connsiteY9" fmla="*/ 264583 h 1788583"/>
            <a:gd name="connsiteX10" fmla="*/ 1365250 w 1801174"/>
            <a:gd name="connsiteY10" fmla="*/ 285750 h 1788583"/>
            <a:gd name="connsiteX11" fmla="*/ 1460500 w 1801174"/>
            <a:gd name="connsiteY11" fmla="*/ 306917 h 1788583"/>
            <a:gd name="connsiteX12" fmla="*/ 1502834 w 1801174"/>
            <a:gd name="connsiteY12" fmla="*/ 317500 h 1788583"/>
            <a:gd name="connsiteX13" fmla="*/ 1555750 w 1801174"/>
            <a:gd name="connsiteY13" fmla="*/ 328083 h 1788583"/>
            <a:gd name="connsiteX14" fmla="*/ 1619250 w 1801174"/>
            <a:gd name="connsiteY14" fmla="*/ 370417 h 1788583"/>
            <a:gd name="connsiteX15" fmla="*/ 1682750 w 1801174"/>
            <a:gd name="connsiteY15" fmla="*/ 412750 h 1788583"/>
            <a:gd name="connsiteX16" fmla="*/ 1714500 w 1801174"/>
            <a:gd name="connsiteY16" fmla="*/ 433917 h 1788583"/>
            <a:gd name="connsiteX17" fmla="*/ 1799167 w 1801174"/>
            <a:gd name="connsiteY17" fmla="*/ 486833 h 1788583"/>
            <a:gd name="connsiteX18" fmla="*/ 1799167 w 1801174"/>
            <a:gd name="connsiteY18" fmla="*/ 508000 h 1788583"/>
            <a:gd name="connsiteX19" fmla="*/ 1439334 w 1801174"/>
            <a:gd name="connsiteY19" fmla="*/ 1428750 h 1788583"/>
            <a:gd name="connsiteX20" fmla="*/ 465667 w 1801174"/>
            <a:gd name="connsiteY20" fmla="*/ 1788583 h 1788583"/>
            <a:gd name="connsiteX21" fmla="*/ 0 w 1801174"/>
            <a:gd name="connsiteY21" fmla="*/ 624417 h 1788583"/>
            <a:gd name="connsiteX22" fmla="*/ 613834 w 1801174"/>
            <a:gd name="connsiteY22" fmla="*/ 0 h 17885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</a:cxnLst>
          <a:rect l="l" t="t" r="r" b="b"/>
          <a:pathLst>
            <a:path w="1801174" h="1788583">
              <a:moveTo>
                <a:pt x="613834" y="0"/>
              </a:moveTo>
              <a:lnTo>
                <a:pt x="613834" y="0"/>
              </a:lnTo>
              <a:cubicBezTo>
                <a:pt x="642056" y="10583"/>
                <a:pt x="669731" y="22760"/>
                <a:pt x="698500" y="31750"/>
              </a:cubicBezTo>
              <a:cubicBezTo>
                <a:pt x="717748" y="37765"/>
                <a:pt x="822344" y="59489"/>
                <a:pt x="846667" y="74083"/>
              </a:cubicBezTo>
              <a:cubicBezTo>
                <a:pt x="953505" y="138186"/>
                <a:pt x="842335" y="76688"/>
                <a:pt x="963084" y="127000"/>
              </a:cubicBezTo>
              <a:cubicBezTo>
                <a:pt x="984929" y="136102"/>
                <a:pt x="1004496" y="150255"/>
                <a:pt x="1026584" y="158750"/>
              </a:cubicBezTo>
              <a:cubicBezTo>
                <a:pt x="1050555" y="167970"/>
                <a:pt x="1076696" y="170697"/>
                <a:pt x="1100667" y="179917"/>
              </a:cubicBezTo>
              <a:cubicBezTo>
                <a:pt x="1122755" y="188412"/>
                <a:pt x="1142322" y="202565"/>
                <a:pt x="1164167" y="211667"/>
              </a:cubicBezTo>
              <a:cubicBezTo>
                <a:pt x="1220069" y="234959"/>
                <a:pt x="1232546" y="233646"/>
                <a:pt x="1291167" y="243417"/>
              </a:cubicBezTo>
              <a:cubicBezTo>
                <a:pt x="1305278" y="250472"/>
                <a:pt x="1319802" y="256756"/>
                <a:pt x="1333500" y="264583"/>
              </a:cubicBezTo>
              <a:cubicBezTo>
                <a:pt x="1344544" y="270894"/>
                <a:pt x="1353873" y="280062"/>
                <a:pt x="1365250" y="285750"/>
              </a:cubicBezTo>
              <a:cubicBezTo>
                <a:pt x="1392709" y="299480"/>
                <a:pt x="1433408" y="301499"/>
                <a:pt x="1460500" y="306917"/>
              </a:cubicBezTo>
              <a:cubicBezTo>
                <a:pt x="1474763" y="309770"/>
                <a:pt x="1488635" y="314345"/>
                <a:pt x="1502834" y="317500"/>
              </a:cubicBezTo>
              <a:cubicBezTo>
                <a:pt x="1520394" y="321402"/>
                <a:pt x="1538111" y="324555"/>
                <a:pt x="1555750" y="328083"/>
              </a:cubicBezTo>
              <a:cubicBezTo>
                <a:pt x="1576917" y="342194"/>
                <a:pt x="1599170" y="354799"/>
                <a:pt x="1619250" y="370417"/>
              </a:cubicBezTo>
              <a:cubicBezTo>
                <a:pt x="1678706" y="416661"/>
                <a:pt x="1622030" y="392511"/>
                <a:pt x="1682750" y="412750"/>
              </a:cubicBezTo>
              <a:cubicBezTo>
                <a:pt x="1693333" y="419806"/>
                <a:pt x="1703123" y="428229"/>
                <a:pt x="1714500" y="433917"/>
              </a:cubicBezTo>
              <a:cubicBezTo>
                <a:pt x="1762950" y="458142"/>
                <a:pt x="1747115" y="424371"/>
                <a:pt x="1799167" y="486833"/>
              </a:cubicBezTo>
              <a:cubicBezTo>
                <a:pt x="1803684" y="492253"/>
                <a:pt x="1799167" y="500944"/>
                <a:pt x="1799167" y="508000"/>
              </a:cubicBezTo>
              <a:lnTo>
                <a:pt x="1439334" y="1428750"/>
              </a:lnTo>
              <a:lnTo>
                <a:pt x="465667" y="1788583"/>
              </a:lnTo>
              <a:lnTo>
                <a:pt x="0" y="624417"/>
              </a:lnTo>
              <a:lnTo>
                <a:pt x="613834" y="0"/>
              </a:lnTo>
              <a:close/>
            </a:path>
          </a:pathLst>
        </a:cu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349250</xdr:colOff>
      <xdr:row>22</xdr:row>
      <xdr:rowOff>74084</xdr:rowOff>
    </xdr:from>
    <xdr:to>
      <xdr:col>4</xdr:col>
      <xdr:colOff>275167</xdr:colOff>
      <xdr:row>24</xdr:row>
      <xdr:rowOff>31750</xdr:rowOff>
    </xdr:to>
    <xdr:sp macro="" textlink="$I$51">
      <xdr:nvSpPr>
        <xdr:cNvPr id="17" name="Cuadro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667000" y="4265084"/>
          <a:ext cx="698500" cy="338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862E8C0-DF4B-488F-A44B-7B2C1EB6ABE5}" type="TxLink">
            <a:rPr lang="en-US" sz="1600" b="1" i="0" u="none" strike="noStrike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392</a:t>
          </a:fld>
          <a:endParaRPr lang="es-PE" sz="1600" b="1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173567</xdr:colOff>
      <xdr:row>22</xdr:row>
      <xdr:rowOff>99484</xdr:rowOff>
    </xdr:from>
    <xdr:to>
      <xdr:col>6</xdr:col>
      <xdr:colOff>872067</xdr:colOff>
      <xdr:row>24</xdr:row>
      <xdr:rowOff>57150</xdr:rowOff>
    </xdr:to>
    <xdr:sp macro="" textlink="$I$56">
      <xdr:nvSpPr>
        <xdr:cNvPr id="31" name="CuadroText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4809067" y="4290484"/>
          <a:ext cx="698500" cy="3386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5FD5EE5-313A-45E9-9876-5E86CAEEE4BD}" type="TxLink">
            <a:rPr lang="en-US" sz="1600" b="1" i="0" u="none" strike="noStrike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9</a:t>
          </a:fld>
          <a:endParaRPr lang="es-PE" sz="1600" b="1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146051</xdr:colOff>
      <xdr:row>32</xdr:row>
      <xdr:rowOff>135467</xdr:rowOff>
    </xdr:from>
    <xdr:to>
      <xdr:col>15</xdr:col>
      <xdr:colOff>71968</xdr:colOff>
      <xdr:row>34</xdr:row>
      <xdr:rowOff>93133</xdr:rowOff>
    </xdr:to>
    <xdr:sp macro="" textlink="$I$53">
      <xdr:nvSpPr>
        <xdr:cNvPr id="35" name="CuadroTex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1597218" y="6231467"/>
          <a:ext cx="698500" cy="338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59A871B-6922-4FC1-805C-DA883202AEC1}" type="TxLink">
            <a:rPr lang="en-US" sz="16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4</a:t>
          </a:fld>
          <a:endParaRPr lang="es-PE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160867</xdr:colOff>
      <xdr:row>35</xdr:row>
      <xdr:rowOff>182034</xdr:rowOff>
    </xdr:from>
    <xdr:to>
      <xdr:col>15</xdr:col>
      <xdr:colOff>86784</xdr:colOff>
      <xdr:row>37</xdr:row>
      <xdr:rowOff>139700</xdr:rowOff>
    </xdr:to>
    <xdr:sp macro="" textlink="$I$54">
      <xdr:nvSpPr>
        <xdr:cNvPr id="38" name="CuadroTex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1612034" y="6849534"/>
          <a:ext cx="698500" cy="338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F007928-792D-4CF8-A5F6-E3F278D49D8C}" type="TxLink">
            <a:rPr lang="en-US" sz="16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4</a:t>
          </a:fld>
          <a:endParaRPr lang="es-PE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764117</xdr:colOff>
      <xdr:row>12</xdr:row>
      <xdr:rowOff>2117</xdr:rowOff>
    </xdr:from>
    <xdr:to>
      <xdr:col>14</xdr:col>
      <xdr:colOff>690034</xdr:colOff>
      <xdr:row>13</xdr:row>
      <xdr:rowOff>150283</xdr:rowOff>
    </xdr:to>
    <xdr:sp macro="" textlink="$I$53">
      <xdr:nvSpPr>
        <xdr:cNvPr id="42" name="CuadroText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11739034" y="2288117"/>
          <a:ext cx="698500" cy="338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59A871B-6922-4FC1-805C-DA883202AEC1}" type="TxLink">
            <a:rPr lang="en-US" sz="16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4</a:t>
          </a:fld>
          <a:endParaRPr lang="es-PE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285750</xdr:colOff>
      <xdr:row>11</xdr:row>
      <xdr:rowOff>158750</xdr:rowOff>
    </xdr:from>
    <xdr:to>
      <xdr:col>15</xdr:col>
      <xdr:colOff>211667</xdr:colOff>
      <xdr:row>13</xdr:row>
      <xdr:rowOff>116416</xdr:rowOff>
    </xdr:to>
    <xdr:sp macro="" textlink="$I$59">
      <xdr:nvSpPr>
        <xdr:cNvPr id="43" name="CuadroText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1736917" y="2254250"/>
          <a:ext cx="698500" cy="338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53757D7-4851-4E74-85A1-92C4F98B2C9F}" type="TxLink">
            <a:rPr lang="en-US" sz="1600" b="1" i="0" u="none" strike="noStrike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26</a:t>
          </a:fld>
          <a:endParaRPr lang="es-PE" sz="1600" b="1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289984</xdr:colOff>
      <xdr:row>16</xdr:row>
      <xdr:rowOff>57150</xdr:rowOff>
    </xdr:from>
    <xdr:to>
      <xdr:col>15</xdr:col>
      <xdr:colOff>215901</xdr:colOff>
      <xdr:row>18</xdr:row>
      <xdr:rowOff>14816</xdr:rowOff>
    </xdr:to>
    <xdr:sp macro="" textlink="$I$62">
      <xdr:nvSpPr>
        <xdr:cNvPr id="44" name="CuadroTexto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1741151" y="3105150"/>
          <a:ext cx="698500" cy="338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8A6B9D2-3BE3-4D54-9703-427D27D054E5}" type="TxLink">
            <a:rPr lang="en-US" sz="1600" b="1" i="0" u="none" strike="noStrike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4</a:t>
          </a:fld>
          <a:endParaRPr lang="es-PE" sz="1600" b="1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262467</xdr:colOff>
      <xdr:row>20</xdr:row>
      <xdr:rowOff>177800</xdr:rowOff>
    </xdr:from>
    <xdr:to>
      <xdr:col>15</xdr:col>
      <xdr:colOff>188384</xdr:colOff>
      <xdr:row>22</xdr:row>
      <xdr:rowOff>135466</xdr:rowOff>
    </xdr:to>
    <xdr:sp macro="" textlink="$I$65">
      <xdr:nvSpPr>
        <xdr:cNvPr id="45" name="CuadroTexto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11713634" y="3987800"/>
          <a:ext cx="698500" cy="338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B96993CE-F563-468E-BC3E-2185CAB58E38}" type="TxLink">
            <a:rPr lang="en-US" sz="1600" b="1" i="0" u="none" strike="noStrike">
              <a:solidFill>
                <a:schemeClr val="tx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1</a:t>
          </a:fld>
          <a:endParaRPr lang="es-PE" sz="1600" b="1" i="0" u="none" strike="noStrike">
            <a:solidFill>
              <a:schemeClr val="tx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298451</xdr:colOff>
      <xdr:row>25</xdr:row>
      <xdr:rowOff>86784</xdr:rowOff>
    </xdr:from>
    <xdr:to>
      <xdr:col>15</xdr:col>
      <xdr:colOff>224368</xdr:colOff>
      <xdr:row>27</xdr:row>
      <xdr:rowOff>44450</xdr:rowOff>
    </xdr:to>
    <xdr:sp macro="" textlink="$I$68">
      <xdr:nvSpPr>
        <xdr:cNvPr id="46" name="CuadroTexto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1749618" y="4849284"/>
          <a:ext cx="698500" cy="338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F717EC1-F71F-4510-94CA-9F344B0F1062}" type="TxLink">
            <a:rPr lang="en-US" sz="1600" b="1" i="0" u="none" strike="noStrike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</a:t>
          </a:fld>
          <a:endParaRPr lang="es-PE" sz="1600" b="1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698499</xdr:colOff>
      <xdr:row>11</xdr:row>
      <xdr:rowOff>158751</xdr:rowOff>
    </xdr:from>
    <xdr:to>
      <xdr:col>3</xdr:col>
      <xdr:colOff>264584</xdr:colOff>
      <xdr:row>13</xdr:row>
      <xdr:rowOff>116419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3666" y="2254251"/>
          <a:ext cx="338668" cy="338668"/>
        </a:xfrm>
        <a:prstGeom prst="rect">
          <a:avLst/>
        </a:prstGeom>
      </xdr:spPr>
    </xdr:pic>
    <xdr:clientData/>
  </xdr:twoCellAnchor>
  <xdr:twoCellAnchor editAs="oneCell">
    <xdr:from>
      <xdr:col>1</xdr:col>
      <xdr:colOff>448731</xdr:colOff>
      <xdr:row>19</xdr:row>
      <xdr:rowOff>25400</xdr:rowOff>
    </xdr:from>
    <xdr:to>
      <xdr:col>1</xdr:col>
      <xdr:colOff>762000</xdr:colOff>
      <xdr:row>20</xdr:row>
      <xdr:rowOff>148169</xdr:rowOff>
    </xdr:to>
    <xdr:pic>
      <xdr:nvPicPr>
        <xdr:cNvPr id="22" name="Imagen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314" y="3644900"/>
          <a:ext cx="313269" cy="313269"/>
        </a:xfrm>
        <a:prstGeom prst="rect">
          <a:avLst/>
        </a:prstGeom>
      </xdr:spPr>
    </xdr:pic>
    <xdr:clientData/>
  </xdr:twoCellAnchor>
  <xdr:twoCellAnchor editAs="oneCell">
    <xdr:from>
      <xdr:col>2</xdr:col>
      <xdr:colOff>230713</xdr:colOff>
      <xdr:row>28</xdr:row>
      <xdr:rowOff>19051</xdr:rowOff>
    </xdr:from>
    <xdr:to>
      <xdr:col>2</xdr:col>
      <xdr:colOff>643464</xdr:colOff>
      <xdr:row>30</xdr:row>
      <xdr:rowOff>50802</xdr:rowOff>
    </xdr:to>
    <xdr:pic>
      <xdr:nvPicPr>
        <xdr:cNvPr id="23" name="Imagen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880" y="5353051"/>
          <a:ext cx="412751" cy="412751"/>
        </a:xfrm>
        <a:prstGeom prst="rect">
          <a:avLst/>
        </a:prstGeom>
      </xdr:spPr>
    </xdr:pic>
    <xdr:clientData/>
  </xdr:twoCellAnchor>
  <xdr:twoCellAnchor editAs="oneCell">
    <xdr:from>
      <xdr:col>7</xdr:col>
      <xdr:colOff>46565</xdr:colOff>
      <xdr:row>12</xdr:row>
      <xdr:rowOff>35984</xdr:rowOff>
    </xdr:from>
    <xdr:to>
      <xdr:col>7</xdr:col>
      <xdr:colOff>349250</xdr:colOff>
      <xdr:row>13</xdr:row>
      <xdr:rowOff>148169</xdr:rowOff>
    </xdr:to>
    <xdr:pic>
      <xdr:nvPicPr>
        <xdr:cNvPr id="25" name="Imagen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3815" y="2321984"/>
          <a:ext cx="302685" cy="302685"/>
        </a:xfrm>
        <a:prstGeom prst="rect">
          <a:avLst/>
        </a:prstGeom>
      </xdr:spPr>
    </xdr:pic>
    <xdr:clientData/>
  </xdr:twoCellAnchor>
  <xdr:twoCellAnchor editAs="oneCell">
    <xdr:from>
      <xdr:col>7</xdr:col>
      <xdr:colOff>590547</xdr:colOff>
      <xdr:row>20</xdr:row>
      <xdr:rowOff>82552</xdr:rowOff>
    </xdr:from>
    <xdr:to>
      <xdr:col>7</xdr:col>
      <xdr:colOff>952500</xdr:colOff>
      <xdr:row>22</xdr:row>
      <xdr:rowOff>63505</xdr:rowOff>
    </xdr:to>
    <xdr:pic>
      <xdr:nvPicPr>
        <xdr:cNvPr id="26" name="Imagen 2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7797" y="3892552"/>
          <a:ext cx="361953" cy="361953"/>
        </a:xfrm>
        <a:prstGeom prst="rect">
          <a:avLst/>
        </a:prstGeom>
      </xdr:spPr>
    </xdr:pic>
    <xdr:clientData/>
  </xdr:twoCellAnchor>
  <xdr:twoCellAnchor editAs="oneCell">
    <xdr:from>
      <xdr:col>7</xdr:col>
      <xdr:colOff>330197</xdr:colOff>
      <xdr:row>28</xdr:row>
      <xdr:rowOff>44451</xdr:rowOff>
    </xdr:from>
    <xdr:to>
      <xdr:col>7</xdr:col>
      <xdr:colOff>742948</xdr:colOff>
      <xdr:row>30</xdr:row>
      <xdr:rowOff>76202</xdr:rowOff>
    </xdr:to>
    <xdr:pic>
      <xdr:nvPicPr>
        <xdr:cNvPr id="27" name="Imagen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47" y="5378451"/>
          <a:ext cx="412751" cy="4127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0</xdr:col>
      <xdr:colOff>1756833</xdr:colOff>
      <xdr:row>3</xdr:row>
      <xdr:rowOff>0</xdr:rowOff>
    </xdr:to>
    <xdr:pic>
      <xdr:nvPicPr>
        <xdr:cNvPr id="3" name="Imagen 2" descr="LOGO NUEVO ESSALUD-01-0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56832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110756</xdr:colOff>
      <xdr:row>0</xdr:row>
      <xdr:rowOff>0</xdr:rowOff>
    </xdr:from>
    <xdr:to>
      <xdr:col>13</xdr:col>
      <xdr:colOff>1877915</xdr:colOff>
      <xdr:row>3</xdr:row>
      <xdr:rowOff>45299</xdr:rowOff>
    </xdr:to>
    <xdr:grpSp>
      <xdr:nvGrpSpPr>
        <xdr:cNvPr id="4" name="Grup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22594186" y="0"/>
          <a:ext cx="1767159" cy="610154"/>
          <a:chOff x="4171950" y="770163"/>
          <a:chExt cx="1753960" cy="524270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71950" y="803906"/>
            <a:ext cx="573207" cy="440280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97988" y="770163"/>
            <a:ext cx="1427922" cy="524270"/>
          </a:xfrm>
          <a:prstGeom prst="rect">
            <a:avLst/>
          </a:prstGeom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4652606" y="850446"/>
            <a:ext cx="1186219" cy="3619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PE" sz="1200" b="1" i="1">
                <a:solidFill>
                  <a:schemeClr val="bg1"/>
                </a:solidFill>
              </a:rPr>
              <a:t>Menú Principal</a:t>
            </a:r>
          </a:p>
        </xdr:txBody>
      </xdr:sp>
    </xdr:grpSp>
    <xdr:clientData/>
  </xdr:twoCellAnchor>
  <xdr:twoCellAnchor editAs="absolute">
    <xdr:from>
      <xdr:col>11</xdr:col>
      <xdr:colOff>917793</xdr:colOff>
      <xdr:row>0</xdr:row>
      <xdr:rowOff>20085</xdr:rowOff>
    </xdr:from>
    <xdr:to>
      <xdr:col>12</xdr:col>
      <xdr:colOff>1960377</xdr:colOff>
      <xdr:row>22</xdr:row>
      <xdr:rowOff>166134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RED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73549" y="20085"/>
              <a:ext cx="2294125" cy="45209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 de tabla. La segmentación de datos de tabla se admite en Excel o versiones posteriores.
Si la forma se modificó en una versión anterior de Excel o si el libro se guardó en Excel 2007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4315661</xdr:colOff>
      <xdr:row>417</xdr:row>
      <xdr:rowOff>111435</xdr:rowOff>
    </xdr:from>
    <xdr:to>
      <xdr:col>8</xdr:col>
      <xdr:colOff>1118634</xdr:colOff>
      <xdr:row>424</xdr:row>
      <xdr:rowOff>354418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RED 1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8510" y="78415795"/>
              <a:ext cx="2241083" cy="16385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 de tabla. La segmentación de datos de tabla se admite en Excel o versiones posteriores.
Si la forma se modificó en una versión anterior de Excel o si el libro se guardó en Excel 2007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476250</xdr:colOff>
      <xdr:row>411</xdr:row>
      <xdr:rowOff>22151</xdr:rowOff>
    </xdr:from>
    <xdr:to>
      <xdr:col>9</xdr:col>
      <xdr:colOff>227653</xdr:colOff>
      <xdr:row>414</xdr:row>
      <xdr:rowOff>996</xdr:rowOff>
    </xdr:to>
    <xdr:grpSp>
      <xdr:nvGrpSpPr>
        <xdr:cNvPr id="9" name="Grup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11607209" y="77639825"/>
          <a:ext cx="1146927" cy="664535"/>
          <a:chOff x="4171950" y="770163"/>
          <a:chExt cx="1753960" cy="524270"/>
        </a:xfrm>
      </xdr:grpSpPr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71950" y="803906"/>
            <a:ext cx="573207" cy="440280"/>
          </a:xfrm>
          <a:prstGeom prst="rect">
            <a:avLst/>
          </a:prstGeom>
        </xdr:spPr>
      </xdr:pic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97988" y="770163"/>
            <a:ext cx="1427922" cy="524270"/>
          </a:xfrm>
          <a:prstGeom prst="rect">
            <a:avLst/>
          </a:prstGeom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4652606" y="850446"/>
            <a:ext cx="1186219" cy="3619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PE" sz="1200" b="1" i="1">
                <a:solidFill>
                  <a:schemeClr val="bg1"/>
                </a:solidFill>
              </a:rPr>
              <a:t>Menú Principal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190500</xdr:colOff>
      <xdr:row>0</xdr:row>
      <xdr:rowOff>590996</xdr:rowOff>
    </xdr:to>
    <xdr:pic>
      <xdr:nvPicPr>
        <xdr:cNvPr id="2" name="Imagen 1" descr="LOGO NUEVO ESSALUD-01-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80583" cy="590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734903</xdr:colOff>
      <xdr:row>0</xdr:row>
      <xdr:rowOff>215475</xdr:rowOff>
    </xdr:from>
    <xdr:to>
      <xdr:col>9</xdr:col>
      <xdr:colOff>159895</xdr:colOff>
      <xdr:row>1</xdr:row>
      <xdr:rowOff>84666</xdr:rowOff>
    </xdr:to>
    <xdr:grpSp>
      <xdr:nvGrpSpPr>
        <xdr:cNvPr id="3" name="Grup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9106320" y="215475"/>
          <a:ext cx="1742742" cy="514774"/>
          <a:chOff x="4171950" y="770163"/>
          <a:chExt cx="1753960" cy="524270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71950" y="803906"/>
            <a:ext cx="573207" cy="440280"/>
          </a:xfrm>
          <a:prstGeom prst="rect">
            <a:avLst/>
          </a:prstGeom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97988" y="770163"/>
            <a:ext cx="1427922" cy="524270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4652606" y="850446"/>
            <a:ext cx="1186219" cy="3619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PE" sz="1200" b="1" i="1">
                <a:solidFill>
                  <a:schemeClr val="bg1"/>
                </a:solidFill>
              </a:rPr>
              <a:t>Menú Principal</a:t>
            </a:r>
          </a:p>
        </xdr:txBody>
      </xdr:sp>
    </xdr:grpSp>
    <xdr:clientData/>
  </xdr:twoCellAnchor>
  <xdr:twoCellAnchor>
    <xdr:from>
      <xdr:col>9</xdr:col>
      <xdr:colOff>608542</xdr:colOff>
      <xdr:row>37</xdr:row>
      <xdr:rowOff>95249</xdr:rowOff>
    </xdr:from>
    <xdr:to>
      <xdr:col>12</xdr:col>
      <xdr:colOff>624417</xdr:colOff>
      <xdr:row>45</xdr:row>
      <xdr:rowOff>169333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6</xdr:col>
      <xdr:colOff>0</xdr:colOff>
      <xdr:row>426</xdr:row>
      <xdr:rowOff>0</xdr:rowOff>
    </xdr:from>
    <xdr:to>
      <xdr:col>8</xdr:col>
      <xdr:colOff>197575</xdr:colOff>
      <xdr:row>428</xdr:row>
      <xdr:rowOff>80857</xdr:rowOff>
    </xdr:to>
    <xdr:grpSp>
      <xdr:nvGrpSpPr>
        <xdr:cNvPr id="10" name="Grup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8371417" y="78740000"/>
          <a:ext cx="1742741" cy="514774"/>
          <a:chOff x="4171950" y="770163"/>
          <a:chExt cx="1753960" cy="524270"/>
        </a:xfrm>
      </xdr:grpSpPr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71950" y="803906"/>
            <a:ext cx="573207" cy="440280"/>
          </a:xfrm>
          <a:prstGeom prst="rect">
            <a:avLst/>
          </a:prstGeom>
        </xdr:spPr>
      </xdr:pic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97988" y="770163"/>
            <a:ext cx="1427922" cy="524270"/>
          </a:xfrm>
          <a:prstGeom prst="rect">
            <a:avLst/>
          </a:prstGeom>
        </xdr:spPr>
      </xdr:pic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4652606" y="850446"/>
            <a:ext cx="1186219" cy="3619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PE" sz="1200" b="1" i="1">
                <a:solidFill>
                  <a:schemeClr val="bg1"/>
                </a:solidFill>
              </a:rPr>
              <a:t>Menú Principal</a:t>
            </a:r>
          </a:p>
        </xdr:txBody>
      </xdr:sp>
    </xdr:grpSp>
    <xdr:clientData/>
  </xdr:twoCellAnchor>
  <xdr:twoCellAnchor>
    <xdr:from>
      <xdr:col>6</xdr:col>
      <xdr:colOff>592667</xdr:colOff>
      <xdr:row>8</xdr:row>
      <xdr:rowOff>158750</xdr:rowOff>
    </xdr:from>
    <xdr:to>
      <xdr:col>10</xdr:col>
      <xdr:colOff>531707</xdr:colOff>
      <xdr:row>37</xdr:row>
      <xdr:rowOff>89294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8964084" y="2190750"/>
          <a:ext cx="3029373" cy="3867544"/>
          <a:chOff x="8180917" y="2190750"/>
          <a:chExt cx="3029373" cy="3867544"/>
        </a:xfrm>
      </xdr:grpSpPr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80917" y="3238500"/>
            <a:ext cx="3029373" cy="2819794"/>
          </a:xfrm>
          <a:prstGeom prst="rect">
            <a:avLst/>
          </a:prstGeom>
        </xdr:spPr>
      </xdr:pic>
      <xdr:sp macro="" textlink="$I$19">
        <xdr:nvSpPr>
          <xdr:cNvPr id="15" name="CuadroTexto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9165167" y="3683000"/>
            <a:ext cx="698500" cy="3386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D270BB7A-3154-46B8-B339-6362FC6646A6}" type="TxLink">
              <a:rPr lang="en-US" sz="16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10</a:t>
            </a:fld>
            <a:endParaRPr lang="es-PE" sz="16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$I$23">
        <xdr:nvSpPr>
          <xdr:cNvPr id="17" name="CuadroTexto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9158817" y="4470400"/>
            <a:ext cx="698500" cy="3386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E2179E62-3508-447D-A5F1-FC77D64A4308}" type="TxLink">
              <a:rPr lang="en-US" sz="16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84</a:t>
            </a:fld>
            <a:endParaRPr lang="es-PE" sz="16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815917" y="2190750"/>
            <a:ext cx="1476581" cy="1047896"/>
          </a:xfrm>
          <a:prstGeom prst="rect">
            <a:avLst/>
          </a:prstGeom>
        </xdr:spPr>
      </xdr:pic>
      <xdr:sp macro="" textlink="$I$34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9199033" y="5293783"/>
            <a:ext cx="698500" cy="3386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6286AF4-2703-43E2-AF50-CCFDC1290D59}" type="TxLink">
              <a:rPr lang="en-US" sz="16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298</a:t>
            </a:fld>
            <a:endParaRPr lang="es-PE" sz="16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$I$37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>
            <a:off x="9226551" y="2804583"/>
            <a:ext cx="637117" cy="3365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962E0BB7-F93F-4833-9A6B-B430E2D819D2}" type="TxLink">
              <a:rPr lang="en-US" sz="18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pPr algn="ctr"/>
              <a:t>392</a:t>
            </a:fld>
            <a:endParaRPr lang="es-PE" sz="18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 txBox="1"/>
        </xdr:nvSpPr>
        <xdr:spPr>
          <a:xfrm>
            <a:off x="8276168" y="3577167"/>
            <a:ext cx="730250" cy="6667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1400" b="1">
                <a:solidFill>
                  <a:schemeClr val="tx2"/>
                </a:solidFill>
              </a:rPr>
              <a:t>Nivel III</a:t>
            </a:r>
          </a:p>
        </xdr:txBody>
      </xdr: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10354735" y="4438650"/>
            <a:ext cx="730250" cy="3661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1400" b="1">
                <a:solidFill>
                  <a:schemeClr val="tx2"/>
                </a:solidFill>
              </a:rPr>
              <a:t>Nivel II</a:t>
            </a:r>
          </a:p>
        </xdr:txBody>
      </xdr:sp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231718" y="5226050"/>
            <a:ext cx="730250" cy="3661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1400" b="1">
                <a:solidFill>
                  <a:schemeClr val="tx2"/>
                </a:solidFill>
              </a:rPr>
              <a:t>Nivel I</a:t>
            </a:r>
          </a:p>
        </xdr:txBody>
      </xdr:sp>
      <xdr:sp macro="" textlink="">
        <xdr:nvSpPr>
          <xdr:cNvPr id="23" name="CuadroTexto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>
            <a:off x="9148235" y="2300817"/>
            <a:ext cx="730250" cy="387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1800" b="1">
                <a:solidFill>
                  <a:schemeClr val="bg1"/>
                </a:solidFill>
              </a:rPr>
              <a:t>Total</a:t>
            </a:r>
          </a:p>
        </xdr:txBody>
      </xdr:sp>
    </xdr:grpSp>
    <xdr:clientData/>
  </xdr:twoCellAnchor>
  <xdr:twoCellAnchor>
    <xdr:from>
      <xdr:col>5</xdr:col>
      <xdr:colOff>666749</xdr:colOff>
      <xdr:row>429</xdr:row>
      <xdr:rowOff>84668</xdr:rowOff>
    </xdr:from>
    <xdr:to>
      <xdr:col>9</xdr:col>
      <xdr:colOff>681999</xdr:colOff>
      <xdr:row>451</xdr:row>
      <xdr:rowOff>61667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8265582" y="79502001"/>
          <a:ext cx="3105584" cy="3024999"/>
          <a:chOff x="8064500" y="79332668"/>
          <a:chExt cx="3105583" cy="3215499"/>
        </a:xfrm>
      </xdr:grpSpPr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733366" y="79332668"/>
            <a:ext cx="1476581" cy="1047896"/>
          </a:xfrm>
          <a:prstGeom prst="rect">
            <a:avLst/>
          </a:prstGeom>
        </xdr:spPr>
      </xdr:pic>
      <xdr:sp macro="" textlink="$J$451">
        <xdr:nvSpPr>
          <xdr:cNvPr id="26" name="CuadroTexto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9144000" y="79946501"/>
            <a:ext cx="637117" cy="3365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C8DF6AB-172D-4315-8E6D-F631F3720FDD}" type="TxLink">
              <a:rPr lang="en-US" sz="1800" b="1" i="0" u="none" strike="noStrike">
                <a:solidFill>
                  <a:schemeClr val="tx2"/>
                </a:solidFill>
                <a:latin typeface="Calibri"/>
                <a:cs typeface="Calibri"/>
              </a:rPr>
              <a:pPr algn="ctr"/>
              <a:t>9</a:t>
            </a:fld>
            <a:endParaRPr lang="es-PE" sz="18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9065684" y="79442735"/>
            <a:ext cx="730250" cy="387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1800" b="1">
                <a:solidFill>
                  <a:schemeClr val="bg1"/>
                </a:solidFill>
              </a:rPr>
              <a:t>Total</a:t>
            </a:r>
          </a:p>
        </xdr:txBody>
      </xdr:sp>
      <xdr:pic>
        <xdr:nvPicPr>
          <xdr:cNvPr id="29" name="Imagen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064500" y="80528584"/>
            <a:ext cx="3105583" cy="2019583"/>
          </a:xfrm>
          <a:prstGeom prst="rect">
            <a:avLst/>
          </a:prstGeom>
        </xdr:spPr>
      </xdr:pic>
      <xdr:sp macro="" textlink="$I$444">
        <xdr:nvSpPr>
          <xdr:cNvPr id="30" name="CuadroTexto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9196917" y="80951918"/>
            <a:ext cx="698500" cy="3386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EE03B0BB-8049-469D-80D4-3F6B4E1A98B0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2</a:t>
            </a:fld>
            <a:endParaRPr lang="es-PE" sz="16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$I$448">
        <xdr:nvSpPr>
          <xdr:cNvPr id="31" name="CuadroTexto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9254068" y="81675818"/>
            <a:ext cx="698500" cy="3386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5B4A83E4-A701-4D98-85F0-0F1326048DF7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7</a:t>
            </a:fld>
            <a:endParaRPr lang="es-PE" sz="16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8180917" y="80843968"/>
            <a:ext cx="730250" cy="3661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1400" b="1">
                <a:solidFill>
                  <a:schemeClr val="tx2"/>
                </a:solidFill>
              </a:rPr>
              <a:t>Nivel II</a:t>
            </a:r>
          </a:p>
        </xdr:txBody>
      </xdr:sp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0248900" y="81673701"/>
            <a:ext cx="730250" cy="3661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E" sz="1400" b="1">
                <a:solidFill>
                  <a:schemeClr val="tx2"/>
                </a:solidFill>
              </a:rPr>
              <a:t>Nivel I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674808</xdr:colOff>
      <xdr:row>0</xdr:row>
      <xdr:rowOff>590996</xdr:rowOff>
    </xdr:to>
    <xdr:pic>
      <xdr:nvPicPr>
        <xdr:cNvPr id="2" name="Imagen 1" descr="LOGO NUEVO ESSALUD-01-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46333" cy="590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37465</xdr:colOff>
      <xdr:row>0</xdr:row>
      <xdr:rowOff>138007</xdr:rowOff>
    </xdr:from>
    <xdr:to>
      <xdr:col>15</xdr:col>
      <xdr:colOff>42333</xdr:colOff>
      <xdr:row>0</xdr:row>
      <xdr:rowOff>577850</xdr:rowOff>
    </xdr:to>
    <xdr:grpSp>
      <xdr:nvGrpSpPr>
        <xdr:cNvPr id="3" name="Grup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2187132" y="138007"/>
          <a:ext cx="1804034" cy="439843"/>
          <a:chOff x="4171950" y="770163"/>
          <a:chExt cx="1753960" cy="524270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71950" y="803906"/>
            <a:ext cx="573207" cy="440280"/>
          </a:xfrm>
          <a:prstGeom prst="rect">
            <a:avLst/>
          </a:prstGeom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97988" y="770163"/>
            <a:ext cx="1427922" cy="524270"/>
          </a:xfrm>
          <a:prstGeom prst="rect">
            <a:avLst/>
          </a:prstGeom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/>
        </xdr:nvSpPr>
        <xdr:spPr>
          <a:xfrm>
            <a:off x="4652606" y="850446"/>
            <a:ext cx="1186219" cy="3619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PE" sz="1200" b="1" i="1">
                <a:solidFill>
                  <a:schemeClr val="bg1"/>
                </a:solidFill>
              </a:rPr>
              <a:t>Menú Principal</a:t>
            </a:r>
          </a:p>
        </xdr:txBody>
      </xdr:sp>
    </xdr:grpSp>
    <xdr:clientData/>
  </xdr:twoCellAnchor>
  <xdr:twoCellAnchor>
    <xdr:from>
      <xdr:col>6</xdr:col>
      <xdr:colOff>0</xdr:colOff>
      <xdr:row>69</xdr:row>
      <xdr:rowOff>0</xdr:rowOff>
    </xdr:from>
    <xdr:to>
      <xdr:col>8</xdr:col>
      <xdr:colOff>153035</xdr:colOff>
      <xdr:row>71</xdr:row>
      <xdr:rowOff>58843</xdr:rowOff>
    </xdr:to>
    <xdr:grpSp>
      <xdr:nvGrpSpPr>
        <xdr:cNvPr id="7" name="Grup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6148917" y="10350500"/>
          <a:ext cx="1804035" cy="439843"/>
          <a:chOff x="4171950" y="770163"/>
          <a:chExt cx="1753960" cy="524270"/>
        </a:xfrm>
      </xdr:grpSpPr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71950" y="803906"/>
            <a:ext cx="573207" cy="440280"/>
          </a:xfrm>
          <a:prstGeom prst="rect">
            <a:avLst/>
          </a:prstGeom>
        </xdr:spPr>
      </xdr:pic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97988" y="770163"/>
            <a:ext cx="1427922" cy="524270"/>
          </a:xfrm>
          <a:prstGeom prst="rect">
            <a:avLst/>
          </a:prstGeom>
        </xdr:spPr>
      </xdr:pic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 txBox="1"/>
        </xdr:nvSpPr>
        <xdr:spPr>
          <a:xfrm>
            <a:off x="4652606" y="850446"/>
            <a:ext cx="1186219" cy="3619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s-PE" sz="1200" b="1" i="1">
                <a:solidFill>
                  <a:schemeClr val="bg1"/>
                </a:solidFill>
              </a:rPr>
              <a:t>Menú Principal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" connectionId="10" xr16:uid="{00000000-0016-0000-0000-000000000000}" autoFormatId="16" applyNumberFormats="0" applyBorderFormats="0" applyFontFormats="0" applyPatternFormats="0" applyAlignmentFormats="0" applyWidthHeightFormats="0">
  <queryTableRefresh nextId="2">
    <queryTableFields count="1">
      <queryTableField id="1" name="CANTIDAD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_1" connectionId="11" xr16:uid="{00000000-0016-0000-0000-000001000000}" autoFormatId="16" applyNumberFormats="0" applyBorderFormats="0" applyFontFormats="0" applyPatternFormats="0" applyAlignmentFormats="0" applyWidthHeightFormats="0">
  <queryTableRefresh nextId="2">
    <queryTableFields count="1">
      <queryTableField id="1" name="CANTIDA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_2" connectionId="12" xr16:uid="{00000000-0016-0000-0000-000002000000}" autoFormatId="16" applyNumberFormats="0" applyBorderFormats="0" applyFontFormats="0" applyPatternFormats="0" applyAlignmentFormats="0" applyWidthHeightFormats="0">
  <queryTableRefresh nextId="2">
    <queryTableFields count="1">
      <queryTableField id="1" name="CANTIDAD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_3" connectionId="13" xr16:uid="{00000000-0016-0000-0000-000003000000}" autoFormatId="16" applyNumberFormats="0" applyBorderFormats="0" applyFontFormats="0" applyPatternFormats="0" applyAlignmentFormats="0" applyWidthHeightFormats="0">
  <queryTableRefresh nextId="2">
    <queryTableFields count="1">
      <queryTableField id="1" name="CANTIDAD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" connectionId="1" xr16:uid="{00000000-0016-0000-0100-000004000000}" autoFormatId="16" applyNumberFormats="0" applyBorderFormats="0" applyFontFormats="0" applyPatternFormats="0" applyAlignmentFormats="0" applyWidthHeightFormats="0">
  <queryTableRefresh nextId="22">
    <queryTableFields count="14">
      <queryTableField id="1" name="RED" tableColumnId="1"/>
      <queryTableField id="2" name="Tipo" tableColumnId="2"/>
      <queryTableField id="3" name="COD_EESS" tableColumnId="3"/>
      <queryTableField id="4" name="COD_SES" tableColumnId="4"/>
      <queryTableField id="5" name="COD_RENAES" tableColumnId="5"/>
      <queryTableField id="6" name="TIPO_2" tableColumnId="6"/>
      <queryTableField id="7" name="CENTROS_ASISTENCIALES" tableColumnId="7"/>
      <queryTableField id="8" name="DPTO" tableColumnId="8"/>
      <queryTableField id="9" name="PROVINCIA" tableColumnId="9"/>
      <queryTableField id="10" name="DISTRITO" tableColumnId="10"/>
      <queryTableField id="17" name="NUMERO_RESOLUCION" tableColumnId="13"/>
      <queryTableField id="18" name="ESTADO" tableColumnId="14"/>
      <queryTableField id="19" name="CATEGORIA_MINSA" tableColumnId="15"/>
      <queryTableField id="20" name="RESOLUCION_CATEGORIZACION" tableColumnId="1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_1" connectionId="2" xr16:uid="{00000000-0016-0000-0100-000005000000}" autoFormatId="16" applyNumberFormats="0" applyBorderFormats="0" applyFontFormats="0" applyPatternFormats="0" applyAlignmentFormats="0" applyWidthHeightFormats="0">
  <queryTableRefresh nextId="11">
    <queryTableFields count="9">
      <queryTableField id="1" name="RED" tableColumnId="1"/>
      <queryTableField id="2" name="COD_GH" tableColumnId="2"/>
      <queryTableField id="3" name="COD_SES" tableColumnId="3"/>
      <queryTableField id="4" name="TIPO" tableColumnId="4"/>
      <queryTableField id="5" name="CENTROS_ASISTENCIALES" tableColumnId="5"/>
      <queryTableField id="6" name="DPTO" tableColumnId="6"/>
      <queryTableField id="7" name="PROVINCIA" tableColumnId="7"/>
      <queryTableField id="8" name="DISTRITO" tableColumnId="8"/>
      <queryTableField id="9" name="NRO_CONTRATO_CONVENIO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" connectionId="5" xr16:uid="{00000000-0016-0000-0200-000006000000}" autoFormatId="16" applyNumberFormats="0" applyBorderFormats="0" applyFontFormats="0" applyPatternFormats="0" applyAlignmentFormats="0" applyWidthHeightFormats="0">
  <queryTableRefresh nextId="4">
    <queryTableFields count="3">
      <queryTableField id="1" name="TIPO_2" tableColumnId="1"/>
      <queryTableField id="2" name="CENTROS_ASISTENCIALES" tableColumnId="2"/>
      <queryTableField id="3" name="DPTO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_1" connectionId="6" xr16:uid="{00000000-0016-0000-0200-000007000000}" autoFormatId="16" applyNumberFormats="0" applyBorderFormats="0" applyFontFormats="0" applyPatternFormats="0" applyAlignmentFormats="0" applyWidthHeightFormats="0">
  <queryTableRefresh nextId="4">
    <queryTableFields count="3">
      <queryTableField id="1" name="TIPO_2" tableColumnId="1"/>
      <queryTableField id="2" name="CENTROS_ASISTENCIALES" tableColumnId="2"/>
      <queryTableField id="3" name="DPTO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_2" connectionId="7" xr16:uid="{00000000-0016-0000-0200-000008000000}" autoFormatId="16" applyNumberFormats="0" applyBorderFormats="0" applyFontFormats="0" applyPatternFormats="0" applyAlignmentFormats="0" applyWidthHeightFormats="0">
  <queryTableRefresh nextId="4">
    <queryTableFields count="3">
      <queryTableField id="1" name="TIPO_2" tableColumnId="1"/>
      <queryTableField id="2" name="CENTROS_ASISTENCIALES" tableColumnId="2"/>
      <queryTableField id="3" name="DPTO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_3" connectionId="8" xr16:uid="{00000000-0016-0000-0200-000009000000}" autoFormatId="16" applyNumberFormats="0" applyBorderFormats="0" applyFontFormats="0" applyPatternFormats="0" applyAlignmentFormats="0" applyWidthHeightFormats="0">
  <queryTableRefresh nextId="4">
    <queryTableFields count="3">
      <queryTableField id="1" name="TIPO" tableColumnId="1"/>
      <queryTableField id="2" name="CENTROS_ASISTENCIALES" tableColumnId="2"/>
      <queryTableField id="3" name="DPTO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_4" connectionId="9" xr16:uid="{00000000-0016-0000-0200-00000A000000}" autoFormatId="16" applyNumberFormats="0" applyBorderFormats="0" applyFontFormats="0" applyPatternFormats="0" applyAlignmentFormats="0" applyWidthHeightFormats="0">
  <queryTableRefresh nextId="4">
    <queryTableFields count="3">
      <queryTableField id="1" name="TIPO" tableColumnId="1"/>
      <queryTableField id="2" name="CENTROS_ASISTENCIALES" tableColumnId="2"/>
      <queryTableField id="3" name="DPTO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" connectionId="3" xr16:uid="{00000000-0016-0000-0300-00000B000000}" autoFormatId="16" applyNumberFormats="0" applyBorderFormats="0" applyFontFormats="0" applyPatternFormats="0" applyAlignmentFormats="0" applyWidthHeightFormats="0">
  <queryTableRefresh nextId="16">
    <queryTableFields count="15">
      <queryTableField id="1" tableColumnId="1"/>
      <queryTableField id="2" tableColumnId="2"/>
      <queryTableField id="3" tableColumnId="3"/>
      <queryTableField id="4" tableColumnId="4"/>
      <queryTableField id="5" tableColumnId="5"/>
      <queryTableField id="6" tableColumnId="6"/>
      <queryTableField id="7" tableColumnId="7"/>
      <queryTableField id="8" tableColumnId="8"/>
      <queryTableField id="9" tableColumnId="9"/>
      <queryTableField id="10" tableColumnId="10"/>
      <queryTableField id="11" tableColumnId="11"/>
      <queryTableField id="12" tableColumnId="12"/>
      <queryTableField id="13" tableColumnId="13"/>
      <queryTableField id="14" tableColumnId="14"/>
      <queryTableField id="15" tableColumnId="1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pentahodev_1" connectionId="4" xr16:uid="{00000000-0016-0000-0300-00000C000000}" autoFormatId="16" applyNumberFormats="0" applyBorderFormats="0" applyFontFormats="0" applyPatternFormats="0" applyAlignmentFormats="0" applyWidthHeightFormats="0">
  <queryTableRefresh nextId="5">
    <queryTableFields count="4">
      <queryTableField id="1" tableColumnId="1"/>
      <queryTableField id="2" tableColumnId="2"/>
      <queryTableField id="3" tableColumnId="3"/>
      <queryTableField id="4" tableColumnId="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D" xr10:uid="{00000000-0013-0000-FFFF-FFFF01000000}" sourceName="RED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D1" xr10:uid="{00000000-0013-0000-FFFF-FFFF02000000}" sourceName="RED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D" xr10:uid="{00000000-0014-0000-FFFF-FFFF01000000}" cache="SegmentaciónDeDatos_RED" caption="RED" style="SlicerStyleLight2" rowHeight="241300"/>
  <slicer name="RED 1" xr10:uid="{00000000-0014-0000-FFFF-FFFF02000000}" cache="SegmentaciónDeDatos_RED1" caption="RED" style="SlicerStyleLight3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_Consulta_desde_pentahodev3" displayName="Tabla_Consulta_desde_pentahodev3" ref="I58:I59" tableType="queryTable" totalsRowShown="0" headerRowDxfId="78" dataDxfId="77">
  <autoFilter ref="I58:I59" xr:uid="{00000000-0009-0000-0100-000002000000}"/>
  <tableColumns count="1">
    <tableColumn id="1" xr3:uid="{00000000-0010-0000-0000-000001000000}" uniqueName="1" name="CANTIDAD" queryTableFieldId="1" data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_Consulta_desde_pentahodev35" displayName="Tabla_Consulta_desde_pentahodev35" ref="I61:I62" tableType="queryTable" totalsRowShown="0" headerRowDxfId="75" dataDxfId="74">
  <autoFilter ref="I61:I62" xr:uid="{00000000-0009-0000-0100-000004000000}"/>
  <tableColumns count="1">
    <tableColumn id="1" xr3:uid="{00000000-0010-0000-0100-000001000000}" uniqueName="1" name="CANTIDAD" queryTableFieldId="1" dataDxfId="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_Consulta_desde_pentahodev356" displayName="Tabla_Consulta_desde_pentahodev356" ref="I64:I65" tableType="queryTable" totalsRowShown="0" headerRowDxfId="72" dataDxfId="71">
  <autoFilter ref="I64:I65" xr:uid="{00000000-0009-0000-0100-000005000000}"/>
  <tableColumns count="1">
    <tableColumn id="1" xr3:uid="{00000000-0010-0000-0200-000001000000}" uniqueName="1" name="CANTIDAD" queryTableFieldId="1" dataDxfId="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a_Consulta_desde_pentahodev35611" displayName="Tabla_Consulta_desde_pentahodev35611" ref="I67:I68" tableType="queryTable" totalsRowShown="0" headerRowDxfId="69" dataDxfId="68">
  <autoFilter ref="I67:I68" xr:uid="{00000000-0009-0000-0100-00000A000000}"/>
  <tableColumns count="1">
    <tableColumn id="1" xr3:uid="{00000000-0010-0000-0300-000001000000}" uniqueName="1" name="CANTIDAD" queryTableFieldId="1" dataDxfId="6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a_Consulta_desde_pentahodev" displayName="Tabla_Consulta_desde_pentahodev" ref="A12:N404" tableType="queryTable" totalsRowShown="0" dataDxfId="66" headerRowCellStyle="Normal">
  <autoFilter ref="A12:N404" xr:uid="{00000000-0009-0000-0100-000001000000}"/>
  <tableColumns count="14">
    <tableColumn id="1" xr3:uid="{00000000-0010-0000-0400-000001000000}" uniqueName="1" name="RED" queryTableFieldId="1" dataDxfId="65"/>
    <tableColumn id="2" xr3:uid="{00000000-0010-0000-0400-000002000000}" uniqueName="2" name="Tipo" queryTableFieldId="2" dataDxfId="64"/>
    <tableColumn id="3" xr3:uid="{00000000-0010-0000-0400-000003000000}" uniqueName="3" name="COD_EESS" queryTableFieldId="3" dataDxfId="63"/>
    <tableColumn id="4" xr3:uid="{00000000-0010-0000-0400-000004000000}" uniqueName="4" name="COD_SES" queryTableFieldId="4" dataDxfId="62"/>
    <tableColumn id="5" xr3:uid="{00000000-0010-0000-0400-000005000000}" uniqueName="5" name="COD_RENAES" queryTableFieldId="5" dataDxfId="61"/>
    <tableColumn id="6" xr3:uid="{00000000-0010-0000-0400-000006000000}" uniqueName="6" name="TIPO_2" queryTableFieldId="6" dataDxfId="60"/>
    <tableColumn id="7" xr3:uid="{00000000-0010-0000-0400-000007000000}" uniqueName="7" name="CENTROS_ASISTENCIALES" queryTableFieldId="7" dataDxfId="59"/>
    <tableColumn id="8" xr3:uid="{00000000-0010-0000-0400-000008000000}" uniqueName="8" name="DPTO" queryTableFieldId="8" dataDxfId="58"/>
    <tableColumn id="9" xr3:uid="{00000000-0010-0000-0400-000009000000}" uniqueName="9" name="PROVINCIA" queryTableFieldId="9" dataDxfId="57"/>
    <tableColumn id="10" xr3:uid="{00000000-0010-0000-0400-00000A000000}" uniqueName="10" name="DISTRITO" queryTableFieldId="10" dataDxfId="56"/>
    <tableColumn id="13" xr3:uid="{00000000-0010-0000-0400-00000D000000}" uniqueName="13" name="NUMERO_RESOLUCION" queryTableFieldId="17" dataDxfId="55"/>
    <tableColumn id="14" xr3:uid="{00000000-0010-0000-0400-00000E000000}" uniqueName="14" name="ESTADO" queryTableFieldId="18" dataDxfId="54"/>
    <tableColumn id="15" xr3:uid="{00000000-0010-0000-0400-00000F000000}" uniqueName="15" name="CATEGORIA_MINSA" queryTableFieldId="19" dataDxfId="53"/>
    <tableColumn id="16" xr3:uid="{00000000-0010-0000-0400-000010000000}" uniqueName="16" name="RESOLUCION_CATEGORIZACION" queryTableFieldId="20" dataDxfId="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a_Consulta_desde_pentahodev_1" displayName="Tabla_Consulta_desde_pentahodev_1" ref="A422:I431" tableType="queryTable" totalsRowShown="0" dataDxfId="51">
  <autoFilter ref="A422:I431" xr:uid="{00000000-0009-0000-0100-000003000000}"/>
  <tableColumns count="9">
    <tableColumn id="1" xr3:uid="{00000000-0010-0000-0500-000001000000}" uniqueName="1" name="RED" queryTableFieldId="1" dataDxfId="50"/>
    <tableColumn id="2" xr3:uid="{00000000-0010-0000-0500-000002000000}" uniqueName="2" name="COD_GH" queryTableFieldId="2" dataDxfId="49"/>
    <tableColumn id="3" xr3:uid="{00000000-0010-0000-0500-000003000000}" uniqueName="3" name="COD_SES" queryTableFieldId="3" dataDxfId="48"/>
    <tableColumn id="4" xr3:uid="{00000000-0010-0000-0500-000004000000}" uniqueName="4" name="TIPO" queryTableFieldId="4" dataDxfId="47"/>
    <tableColumn id="5" xr3:uid="{00000000-0010-0000-0500-000005000000}" uniqueName="5" name="CENTROS_ASISTENCIALES" queryTableFieldId="5" dataDxfId="46"/>
    <tableColumn id="6" xr3:uid="{00000000-0010-0000-0500-000006000000}" uniqueName="6" name="DPTO" queryTableFieldId="6" dataDxfId="45"/>
    <tableColumn id="7" xr3:uid="{00000000-0010-0000-0500-000007000000}" uniqueName="7" name="PROVINCIA" queryTableFieldId="7" dataDxfId="44"/>
    <tableColumn id="8" xr3:uid="{00000000-0010-0000-0500-000008000000}" uniqueName="8" name="DISTRITO" queryTableFieldId="8" dataDxfId="43"/>
    <tableColumn id="9" xr3:uid="{00000000-0010-0000-0500-000009000000}" uniqueName="9" name="NRO_CONTRATO_CONVENIO" queryTableFieldId="9" dataDxfId="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a_Consulta_desde_pentahodev9" displayName="Tabla_Consulta_desde_pentahodev9" ref="C15:E25" tableType="queryTable" totalsRowShown="0" headerRowDxfId="41" dataDxfId="40">
  <autoFilter ref="C15:E25" xr:uid="{00000000-0009-0000-0100-000008000000}"/>
  <tableColumns count="3">
    <tableColumn id="1" xr3:uid="{00000000-0010-0000-0600-000001000000}" uniqueName="1" name="TIPO_2" queryTableFieldId="1" dataDxfId="39"/>
    <tableColumn id="2" xr3:uid="{00000000-0010-0000-0600-000002000000}" uniqueName="2" name="CENTROS_ASISTENCIALES" queryTableFieldId="2" dataDxfId="38"/>
    <tableColumn id="3" xr3:uid="{00000000-0010-0000-0600-000003000000}" uniqueName="3" name="DPTO" queryTableFieldId="3" dataDxfId="3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_Consulta_desde_pentahodev_110" displayName="Tabla_Consulta_desde_pentahodev_110" ref="C33:E117" tableType="queryTable" totalsRowShown="0" dataDxfId="36">
  <autoFilter ref="C33:E117" xr:uid="{00000000-0009-0000-0100-000009000000}"/>
  <tableColumns count="3">
    <tableColumn id="1" xr3:uid="{00000000-0010-0000-0700-000001000000}" uniqueName="1" name="TIPO_2" queryTableFieldId="1" dataDxfId="35"/>
    <tableColumn id="2" xr3:uid="{00000000-0010-0000-0700-000002000000}" uniqueName="2" name="CENTROS_ASISTENCIALES" queryTableFieldId="2" dataDxfId="34"/>
    <tableColumn id="3" xr3:uid="{00000000-0010-0000-0700-000003000000}" uniqueName="3" name="DPTO" queryTableFieldId="3" dataDxfId="3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a_Consulta_desde_pentahodev_2" displayName="Tabla_Consulta_desde_pentahodev_2" ref="C126:E424" tableType="queryTable" totalsRowShown="0" dataDxfId="32">
  <autoFilter ref="C126:E424" xr:uid="{00000000-0009-0000-0100-00000B000000}"/>
  <tableColumns count="3">
    <tableColumn id="1" xr3:uid="{00000000-0010-0000-0800-000001000000}" uniqueName="1" name="TIPO_2" queryTableFieldId="1" dataDxfId="31"/>
    <tableColumn id="2" xr3:uid="{00000000-0010-0000-0800-000002000000}" uniqueName="2" name="CENTROS_ASISTENCIALES" queryTableFieldId="2" dataDxfId="30"/>
    <tableColumn id="3" xr3:uid="{00000000-0010-0000-0800-000003000000}" uniqueName="3" name="DPTO" queryTableFieldId="3" dataDxfId="2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a_Consulta_desde_pentahodev_3" displayName="Tabla_Consulta_desde_pentahodev_3" ref="C435:E437" tableType="queryTable" totalsRowShown="0" dataDxfId="28">
  <autoFilter ref="C435:E437" xr:uid="{00000000-0009-0000-0100-00000C000000}"/>
  <tableColumns count="3">
    <tableColumn id="1" xr3:uid="{00000000-0010-0000-0900-000001000000}" uniqueName="1" name="TIPO" queryTableFieldId="1" dataDxfId="27"/>
    <tableColumn id="2" xr3:uid="{00000000-0010-0000-0900-000002000000}" uniqueName="2" name="CENTROS_ASISTENCIALES" queryTableFieldId="2" dataDxfId="26"/>
    <tableColumn id="3" xr3:uid="{00000000-0010-0000-0900-000003000000}" uniqueName="3" name="DPTO" queryTableFieldId="3" dataDxfId="2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a_Consulta_desde_pentahodev_4" displayName="Tabla_Consulta_desde_pentahodev_4" ref="C442:E449" tableType="queryTable" totalsRowShown="0" dataDxfId="24">
  <autoFilter ref="C442:E449" xr:uid="{00000000-0009-0000-0100-00000D000000}"/>
  <tableColumns count="3">
    <tableColumn id="1" xr3:uid="{00000000-0010-0000-0A00-000001000000}" uniqueName="1" name="TIPO" queryTableFieldId="1" dataDxfId="23"/>
    <tableColumn id="2" xr3:uid="{00000000-0010-0000-0A00-000002000000}" uniqueName="2" name="CENTROS_ASISTENCIALES" queryTableFieldId="2" dataDxfId="22"/>
    <tableColumn id="3" xr3:uid="{00000000-0010-0000-0A00-000003000000}" uniqueName="3" name="DPTO" queryTableFieldId="3" dataDxfId="2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B000000}" name="Tabla_Consulta_desde_pentahodev7" displayName="Tabla_Consulta_desde_pentahodev7" ref="B13:P46" tableType="queryTable" totalsRowShown="0" dataDxfId="20">
  <autoFilter ref="B13:P46" xr:uid="{00000000-0009-0000-0100-000006000000}"/>
  <tableColumns count="15">
    <tableColumn id="1" xr3:uid="{00000000-0010-0000-0B00-000001000000}" uniqueName="1" name="Columna1" queryTableFieldId="1" dataDxfId="19"/>
    <tableColumn id="2" xr3:uid="{00000000-0010-0000-0B00-000002000000}" uniqueName="2" name="Columna2" queryTableFieldId="2" dataDxfId="18"/>
    <tableColumn id="3" xr3:uid="{00000000-0010-0000-0B00-000003000000}" uniqueName="3" name="Columna3" queryTableFieldId="3" dataDxfId="17"/>
    <tableColumn id="4" xr3:uid="{00000000-0010-0000-0B00-000004000000}" uniqueName="4" name="Columna4" queryTableFieldId="4" dataDxfId="16"/>
    <tableColumn id="5" xr3:uid="{00000000-0010-0000-0B00-000005000000}" uniqueName="5" name="Columna5" queryTableFieldId="5" dataDxfId="15"/>
    <tableColumn id="6" xr3:uid="{00000000-0010-0000-0B00-000006000000}" uniqueName="6" name="Columna6" queryTableFieldId="6" dataDxfId="14"/>
    <tableColumn id="7" xr3:uid="{00000000-0010-0000-0B00-000007000000}" uniqueName="7" name="Columna7" queryTableFieldId="7" dataDxfId="13"/>
    <tableColumn id="8" xr3:uid="{00000000-0010-0000-0B00-000008000000}" uniqueName="8" name="Columna8" queryTableFieldId="8" dataDxfId="12"/>
    <tableColumn id="9" xr3:uid="{00000000-0010-0000-0B00-000009000000}" uniqueName="9" name="Columna9" queryTableFieldId="9" dataDxfId="11"/>
    <tableColumn id="10" xr3:uid="{00000000-0010-0000-0B00-00000A000000}" uniqueName="10" name="Columna10" queryTableFieldId="10" dataDxfId="10"/>
    <tableColumn id="11" xr3:uid="{00000000-0010-0000-0B00-00000B000000}" uniqueName="11" name="Columna11" queryTableFieldId="11" dataDxfId="9"/>
    <tableColumn id="12" xr3:uid="{00000000-0010-0000-0B00-00000C000000}" uniqueName="12" name="Columna12" queryTableFieldId="12" dataDxfId="8"/>
    <tableColumn id="13" xr3:uid="{00000000-0010-0000-0B00-00000D000000}" uniqueName="13" name="Columna13" queryTableFieldId="13" dataDxfId="7"/>
    <tableColumn id="14" xr3:uid="{00000000-0010-0000-0B00-00000E000000}" uniqueName="14" name="Columna14" queryTableFieldId="14" dataDxfId="6"/>
    <tableColumn id="15" xr3:uid="{00000000-0010-0000-0B00-00000F000000}" uniqueName="15" name="Columna15" queryTableFieldId="15" dataDxfId="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C000000}" name="Tabla_Consulta_desde_pentahodev_18" displayName="Tabla_Consulta_desde_pentahodev_18" ref="B74:E78" tableType="queryTable" totalsRowShown="0" dataDxfId="4">
  <autoFilter ref="B74:E78" xr:uid="{00000000-0009-0000-0100-000007000000}"/>
  <tableColumns count="4">
    <tableColumn id="1" xr3:uid="{00000000-0010-0000-0C00-000001000000}" uniqueName="1" name="Columna1" queryTableFieldId="1" dataDxfId="3"/>
    <tableColumn id="2" xr3:uid="{00000000-0010-0000-0C00-000002000000}" uniqueName="2" name="Columna2" queryTableFieldId="2" dataDxfId="2"/>
    <tableColumn id="3" xr3:uid="{00000000-0010-0000-0C00-000003000000}" uniqueName="3" name="Columna3" queryTableFieldId="3" dataDxfId="1"/>
    <tableColumn id="4" xr3:uid="{00000000-0010-0000-0C00-000004000000}" uniqueName="4" name="Columna4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07/relationships/slicer" Target="../slicers/slicer1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G15:L175"/>
  <sheetViews>
    <sheetView showGridLines="0" tabSelected="1" zoomScale="90" zoomScaleNormal="90" workbookViewId="0">
      <selection activeCell="R22" sqref="R22"/>
    </sheetView>
  </sheetViews>
  <sheetFormatPr baseColWidth="10" defaultColWidth="11.5703125" defaultRowHeight="15" x14ac:dyDescent="0.25"/>
  <cols>
    <col min="1" max="6" width="11.5703125" style="1"/>
    <col min="7" max="7" width="19.5703125" style="1" customWidth="1"/>
    <col min="8" max="8" width="17.140625" style="1" customWidth="1"/>
    <col min="9" max="9" width="12.7109375" style="1" customWidth="1"/>
    <col min="10" max="10" width="6.5703125" style="1" customWidth="1"/>
    <col min="11" max="16384" width="11.5703125" style="1"/>
  </cols>
  <sheetData>
    <row r="15" spans="11:11" x14ac:dyDescent="0.25">
      <c r="K15"/>
    </row>
    <row r="40" s="38" customFormat="1" hidden="1" x14ac:dyDescent="0.25"/>
    <row r="41" s="38" customFormat="1" hidden="1" x14ac:dyDescent="0.25"/>
    <row r="42" s="38" customFormat="1" hidden="1" x14ac:dyDescent="0.25"/>
    <row r="43" s="38" customFormat="1" hidden="1" x14ac:dyDescent="0.25"/>
    <row r="44" s="38" customFormat="1" hidden="1" x14ac:dyDescent="0.25"/>
    <row r="45" s="38" customFormat="1" hidden="1" x14ac:dyDescent="0.25"/>
    <row r="46" s="38" customFormat="1" hidden="1" x14ac:dyDescent="0.25"/>
    <row r="47" s="38" customFormat="1" hidden="1" x14ac:dyDescent="0.25"/>
    <row r="48" s="38" customFormat="1" hidden="1" x14ac:dyDescent="0.25"/>
    <row r="49" spans="8:12" s="38" customFormat="1" hidden="1" x14ac:dyDescent="0.25"/>
    <row r="50" spans="8:12" s="38" customFormat="1" hidden="1" x14ac:dyDescent="0.25"/>
    <row r="51" spans="8:12" s="38" customFormat="1" hidden="1" x14ac:dyDescent="0.25">
      <c r="H51" s="39" t="s">
        <v>0</v>
      </c>
      <c r="I51" s="40">
        <f>COUNTA(Tabla_Consulta_desde_pentahodev[CENTROS_ASISTENCIALES])</f>
        <v>392</v>
      </c>
      <c r="J51" s="39" t="s">
        <v>1</v>
      </c>
    </row>
    <row r="52" spans="8:12" s="38" customFormat="1" hidden="1" x14ac:dyDescent="0.25">
      <c r="I52" s="41">
        <f>+COUNTIF(Tabla_Consulta_desde_pentahodev[[#All],[ESTADO]],"FUNCIONA")</f>
        <v>384</v>
      </c>
      <c r="J52" s="42" t="s">
        <v>2</v>
      </c>
      <c r="L52" s="39"/>
    </row>
    <row r="53" spans="8:12" s="38" customFormat="1" hidden="1" x14ac:dyDescent="0.25">
      <c r="I53" s="41">
        <f>+COUNTIF(Tabla_Consulta_desde_pentahodev[[#All],[ESTADO]],"CREADO S/FUNCIONAR")</f>
        <v>4</v>
      </c>
      <c r="J53" s="42" t="s">
        <v>3</v>
      </c>
    </row>
    <row r="54" spans="8:12" s="38" customFormat="1" hidden="1" x14ac:dyDescent="0.25">
      <c r="I54" s="41">
        <f>+COUNTIF(Tabla_Consulta_desde_pentahodev[[#All],[ESTADO]],"SIN FUNCIONAR")</f>
        <v>4</v>
      </c>
      <c r="J54" s="42" t="s">
        <v>4</v>
      </c>
    </row>
    <row r="55" spans="8:12" s="38" customFormat="1" hidden="1" x14ac:dyDescent="0.25"/>
    <row r="56" spans="8:12" s="38" customFormat="1" hidden="1" x14ac:dyDescent="0.25">
      <c r="H56" s="39" t="s">
        <v>5</v>
      </c>
      <c r="I56" s="40">
        <f>COUNTA(Tabla_Consulta_desde_pentahodev_1[CENTROS_ASISTENCIALES])</f>
        <v>9</v>
      </c>
      <c r="J56" s="39" t="s">
        <v>1</v>
      </c>
    </row>
    <row r="57" spans="8:12" s="38" customFormat="1" hidden="1" x14ac:dyDescent="0.25"/>
    <row r="58" spans="8:12" s="38" customFormat="1" hidden="1" x14ac:dyDescent="0.25">
      <c r="I58" s="38" t="s">
        <v>6</v>
      </c>
    </row>
    <row r="59" spans="8:12" s="38" customFormat="1" x14ac:dyDescent="0.25">
      <c r="H59" s="38" t="s">
        <v>7</v>
      </c>
      <c r="I59" s="38">
        <v>26</v>
      </c>
    </row>
    <row r="60" spans="8:12" s="38" customFormat="1" hidden="1" x14ac:dyDescent="0.25"/>
    <row r="61" spans="8:12" s="38" customFormat="1" hidden="1" x14ac:dyDescent="0.25">
      <c r="I61" s="38" t="s">
        <v>6</v>
      </c>
    </row>
    <row r="62" spans="8:12" s="38" customFormat="1" x14ac:dyDescent="0.25">
      <c r="H62" s="38" t="s">
        <v>8</v>
      </c>
      <c r="I62" s="38">
        <v>4</v>
      </c>
    </row>
    <row r="63" spans="8:12" s="38" customFormat="1" hidden="1" x14ac:dyDescent="0.25"/>
    <row r="64" spans="8:12" s="38" customFormat="1" hidden="1" x14ac:dyDescent="0.25">
      <c r="I64" s="38" t="s">
        <v>6</v>
      </c>
    </row>
    <row r="65" spans="8:9" s="38" customFormat="1" x14ac:dyDescent="0.25">
      <c r="H65" s="38" t="s">
        <v>9</v>
      </c>
      <c r="I65" s="38">
        <v>1</v>
      </c>
    </row>
    <row r="66" spans="8:9" s="38" customFormat="1" hidden="1" x14ac:dyDescent="0.25"/>
    <row r="67" spans="8:9" s="38" customFormat="1" hidden="1" x14ac:dyDescent="0.25">
      <c r="I67" s="38" t="s">
        <v>6</v>
      </c>
    </row>
    <row r="68" spans="8:9" s="38" customFormat="1" x14ac:dyDescent="0.25">
      <c r="H68" s="38" t="s">
        <v>10</v>
      </c>
      <c r="I68" s="38">
        <v>2</v>
      </c>
    </row>
    <row r="69" spans="8:9" s="38" customFormat="1" hidden="1" x14ac:dyDescent="0.25"/>
    <row r="70" spans="8:9" s="38" customFormat="1" hidden="1" x14ac:dyDescent="0.25"/>
    <row r="71" spans="8:9" s="38" customFormat="1" hidden="1" x14ac:dyDescent="0.25"/>
    <row r="72" spans="8:9" s="38" customFormat="1" hidden="1" x14ac:dyDescent="0.25"/>
    <row r="73" spans="8:9" s="38" customFormat="1" hidden="1" x14ac:dyDescent="0.25"/>
    <row r="74" spans="8:9" s="38" customFormat="1" hidden="1" x14ac:dyDescent="0.25"/>
    <row r="75" spans="8:9" s="38" customFormat="1" hidden="1" x14ac:dyDescent="0.25"/>
    <row r="76" spans="8:9" s="38" customFormat="1" hidden="1" x14ac:dyDescent="0.25"/>
    <row r="77" spans="8:9" s="38" customFormat="1" hidden="1" x14ac:dyDescent="0.25"/>
    <row r="78" spans="8:9" s="38" customFormat="1" hidden="1" x14ac:dyDescent="0.25"/>
    <row r="79" spans="8:9" s="38" customFormat="1" hidden="1" x14ac:dyDescent="0.25"/>
    <row r="80" spans="8:9" s="38" customFormat="1" hidden="1" x14ac:dyDescent="0.25"/>
    <row r="81" s="38" customFormat="1" hidden="1" x14ac:dyDescent="0.25"/>
    <row r="82" s="38" customFormat="1" hidden="1" x14ac:dyDescent="0.25"/>
    <row r="83" s="38" customFormat="1" hidden="1" x14ac:dyDescent="0.25"/>
    <row r="84" s="38" customFormat="1" hidden="1" x14ac:dyDescent="0.25"/>
    <row r="85" s="38" customFormat="1" hidden="1" x14ac:dyDescent="0.25"/>
    <row r="86" s="38" customFormat="1" hidden="1" x14ac:dyDescent="0.25"/>
    <row r="87" s="38" customFormat="1" hidden="1" x14ac:dyDescent="0.25"/>
    <row r="88" s="38" customFormat="1" hidden="1" x14ac:dyDescent="0.25"/>
    <row r="89" s="38" customFormat="1" hidden="1" x14ac:dyDescent="0.25"/>
    <row r="90" s="38" customFormat="1" hidden="1" x14ac:dyDescent="0.25"/>
    <row r="91" s="38" customFormat="1" hidden="1" x14ac:dyDescent="0.25"/>
    <row r="92" s="38" customFormat="1" hidden="1" x14ac:dyDescent="0.25"/>
    <row r="93" s="38" customFormat="1" hidden="1" x14ac:dyDescent="0.25"/>
    <row r="94" s="38" customFormat="1" hidden="1" x14ac:dyDescent="0.25"/>
    <row r="95" s="38" customFormat="1" hidden="1" x14ac:dyDescent="0.25"/>
    <row r="96" s="38" customFormat="1" hidden="1" x14ac:dyDescent="0.25"/>
    <row r="97" s="38" customFormat="1" hidden="1" x14ac:dyDescent="0.25"/>
    <row r="98" s="38" customFormat="1" hidden="1" x14ac:dyDescent="0.25"/>
    <row r="99" s="38" customFormat="1" hidden="1" x14ac:dyDescent="0.25"/>
    <row r="100" s="38" customFormat="1" hidden="1" x14ac:dyDescent="0.25"/>
    <row r="101" s="38" customFormat="1" hidden="1" x14ac:dyDescent="0.25"/>
    <row r="102" s="38" customFormat="1" hidden="1" x14ac:dyDescent="0.25"/>
    <row r="103" s="38" customFormat="1" hidden="1" x14ac:dyDescent="0.25"/>
    <row r="104" s="38" customFormat="1" hidden="1" x14ac:dyDescent="0.25"/>
    <row r="105" s="38" customFormat="1" hidden="1" x14ac:dyDescent="0.25"/>
    <row r="106" s="38" customFormat="1" hidden="1" x14ac:dyDescent="0.25"/>
    <row r="107" s="38" customFormat="1" hidden="1" x14ac:dyDescent="0.25"/>
    <row r="108" s="38" customFormat="1" hidden="1" x14ac:dyDescent="0.25"/>
    <row r="109" s="38" customFormat="1" hidden="1" x14ac:dyDescent="0.25"/>
    <row r="110" s="38" customFormat="1" hidden="1" x14ac:dyDescent="0.25"/>
    <row r="111" s="38" customFormat="1" hidden="1" x14ac:dyDescent="0.25"/>
    <row r="112" s="38" customFormat="1" hidden="1" x14ac:dyDescent="0.25"/>
    <row r="113" s="38" customFormat="1" hidden="1" x14ac:dyDescent="0.25"/>
    <row r="114" s="38" customFormat="1" hidden="1" x14ac:dyDescent="0.25"/>
    <row r="115" s="38" customFormat="1" hidden="1" x14ac:dyDescent="0.25"/>
    <row r="116" s="38" customFormat="1" hidden="1" x14ac:dyDescent="0.25"/>
    <row r="117" s="38" customFormat="1" hidden="1" x14ac:dyDescent="0.25"/>
    <row r="118" s="38" customFormat="1" hidden="1" x14ac:dyDescent="0.25"/>
    <row r="119" s="38" customFormat="1" hidden="1" x14ac:dyDescent="0.25"/>
    <row r="120" s="38" customFormat="1" hidden="1" x14ac:dyDescent="0.25"/>
    <row r="121" s="38" customFormat="1" hidden="1" x14ac:dyDescent="0.25"/>
    <row r="122" s="38" customFormat="1" hidden="1" x14ac:dyDescent="0.25"/>
    <row r="123" s="38" customFormat="1" hidden="1" x14ac:dyDescent="0.25"/>
    <row r="124" s="38" customFormat="1" hidden="1" x14ac:dyDescent="0.25"/>
    <row r="125" s="38" customFormat="1" hidden="1" x14ac:dyDescent="0.25"/>
    <row r="126" s="38" customFormat="1" hidden="1" x14ac:dyDescent="0.25"/>
    <row r="127" s="38" customFormat="1" hidden="1" x14ac:dyDescent="0.25"/>
    <row r="128" s="38" customFormat="1" hidden="1" x14ac:dyDescent="0.25"/>
    <row r="129" s="38" customFormat="1" hidden="1" x14ac:dyDescent="0.25"/>
    <row r="130" s="38" customFormat="1" hidden="1" x14ac:dyDescent="0.25"/>
    <row r="131" s="38" customFormat="1" hidden="1" x14ac:dyDescent="0.25"/>
    <row r="132" s="38" customFormat="1" hidden="1" x14ac:dyDescent="0.25"/>
    <row r="133" s="38" customFormat="1" hidden="1" x14ac:dyDescent="0.25"/>
    <row r="134" s="38" customFormat="1" hidden="1" x14ac:dyDescent="0.25"/>
    <row r="135" s="38" customFormat="1" hidden="1" x14ac:dyDescent="0.25"/>
    <row r="136" s="38" customFormat="1" hidden="1" x14ac:dyDescent="0.25"/>
    <row r="137" s="38" customFormat="1" hidden="1" x14ac:dyDescent="0.25"/>
    <row r="138" s="38" customFormat="1" hidden="1" x14ac:dyDescent="0.25"/>
    <row r="139" s="38" customFormat="1" hidden="1" x14ac:dyDescent="0.25"/>
    <row r="140" s="38" customFormat="1" hidden="1" x14ac:dyDescent="0.25"/>
    <row r="141" s="38" customFormat="1" hidden="1" x14ac:dyDescent="0.25"/>
    <row r="142" s="38" customFormat="1" hidden="1" x14ac:dyDescent="0.25"/>
    <row r="143" s="38" customFormat="1" hidden="1" x14ac:dyDescent="0.25"/>
    <row r="144" s="38" customFormat="1" hidden="1" x14ac:dyDescent="0.25"/>
    <row r="145" s="38" customFormat="1" hidden="1" x14ac:dyDescent="0.25"/>
    <row r="146" s="38" customFormat="1" hidden="1" x14ac:dyDescent="0.25"/>
    <row r="147" s="38" customFormat="1" hidden="1" x14ac:dyDescent="0.25"/>
    <row r="148" s="38" customFormat="1" hidden="1" x14ac:dyDescent="0.25"/>
    <row r="149" s="38" customFormat="1" hidden="1" x14ac:dyDescent="0.25"/>
    <row r="150" s="38" customFormat="1" hidden="1" x14ac:dyDescent="0.25"/>
    <row r="151" s="38" customFormat="1" hidden="1" x14ac:dyDescent="0.25"/>
    <row r="152" s="38" customFormat="1" hidden="1" x14ac:dyDescent="0.25"/>
    <row r="153" s="38" customFormat="1" hidden="1" x14ac:dyDescent="0.25"/>
    <row r="154" s="38" customFormat="1" hidden="1" x14ac:dyDescent="0.25"/>
    <row r="155" s="38" customFormat="1" hidden="1" x14ac:dyDescent="0.25"/>
    <row r="156" s="38" customFormat="1" hidden="1" x14ac:dyDescent="0.25"/>
    <row r="157" s="38" customFormat="1" hidden="1" x14ac:dyDescent="0.25"/>
    <row r="158" s="38" customFormat="1" hidden="1" x14ac:dyDescent="0.25"/>
    <row r="159" s="38" customFormat="1" hidden="1" x14ac:dyDescent="0.25"/>
    <row r="160" s="38" customFormat="1" hidden="1" x14ac:dyDescent="0.25"/>
    <row r="161" spans="7:12" s="38" customFormat="1" hidden="1" x14ac:dyDescent="0.25"/>
    <row r="162" spans="7:12" s="38" customFormat="1" hidden="1" x14ac:dyDescent="0.25"/>
    <row r="163" spans="7:12" s="38" customFormat="1" hidden="1" x14ac:dyDescent="0.25"/>
    <row r="164" spans="7:12" s="38" customFormat="1" hidden="1" x14ac:dyDescent="0.25"/>
    <row r="165" spans="7:12" s="38" customFormat="1" hidden="1" x14ac:dyDescent="0.25"/>
    <row r="166" spans="7:12" s="38" customFormat="1" hidden="1" x14ac:dyDescent="0.25"/>
    <row r="167" spans="7:12" s="38" customFormat="1" hidden="1" x14ac:dyDescent="0.25"/>
    <row r="168" spans="7:12" s="38" customFormat="1" hidden="1" x14ac:dyDescent="0.25"/>
    <row r="169" spans="7:12" s="38" customFormat="1" hidden="1" x14ac:dyDescent="0.25"/>
    <row r="170" spans="7:12" x14ac:dyDescent="0.25">
      <c r="G170" s="38"/>
      <c r="H170" s="38"/>
      <c r="I170" s="38"/>
      <c r="J170" s="38"/>
      <c r="K170" s="38"/>
      <c r="L170" s="38"/>
    </row>
    <row r="171" spans="7:12" x14ac:dyDescent="0.25">
      <c r="G171" s="38"/>
      <c r="H171" s="38"/>
      <c r="I171" s="38"/>
      <c r="J171" s="38"/>
      <c r="K171" s="38"/>
      <c r="L171" s="38"/>
    </row>
    <row r="172" spans="7:12" x14ac:dyDescent="0.25">
      <c r="G172" s="38"/>
      <c r="H172" s="38"/>
      <c r="I172" s="38"/>
      <c r="J172" s="38"/>
      <c r="K172" s="38"/>
      <c r="L172" s="38"/>
    </row>
    <row r="173" spans="7:12" x14ac:dyDescent="0.25">
      <c r="G173" s="38"/>
      <c r="H173" s="38"/>
      <c r="I173" s="38"/>
      <c r="J173" s="38"/>
      <c r="K173" s="38"/>
      <c r="L173" s="38"/>
    </row>
    <row r="174" spans="7:12" x14ac:dyDescent="0.25">
      <c r="G174" s="38"/>
      <c r="H174" s="38"/>
      <c r="I174" s="38"/>
      <c r="J174" s="38"/>
      <c r="K174" s="38"/>
      <c r="L174" s="38"/>
    </row>
    <row r="175" spans="7:12" x14ac:dyDescent="0.25">
      <c r="G175" s="38"/>
      <c r="H175" s="38"/>
      <c r="I175" s="38"/>
      <c r="J175" s="38"/>
      <c r="K175" s="38"/>
      <c r="L175" s="38"/>
    </row>
  </sheetData>
  <sheetProtection algorithmName="SHA-512" hashValue="Qd92voJFvR7VZ1Ly2PmDioNXmy+mbVXJqSW6ky2tNoDtgEah4db4WAbJJIdWp49Hln0+St4Ic9hQJ+16zkpB0Q==" saltValue="m+Y5jO3kld+GgCDeK6vAAA==" spinCount="100000" sheet="1" objects="1" scenarios="1"/>
  <pageMargins left="0.7" right="0.7" top="0.75" bottom="0.75" header="0.3" footer="0.3"/>
  <pageSetup orientation="portrait" verticalDpi="599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4:V431"/>
  <sheetViews>
    <sheetView showGridLines="0" zoomScale="86" zoomScaleNormal="86" workbookViewId="0">
      <selection activeCell="G17" sqref="G17"/>
    </sheetView>
  </sheetViews>
  <sheetFormatPr baseColWidth="10" defaultColWidth="11.42578125" defaultRowHeight="15" x14ac:dyDescent="0.25"/>
  <cols>
    <col min="1" max="1" width="27.140625" customWidth="1"/>
    <col min="2" max="2" width="7.85546875" customWidth="1"/>
    <col min="3" max="3" width="12.7109375" customWidth="1"/>
    <col min="4" max="4" width="11.7109375" customWidth="1"/>
    <col min="5" max="5" width="15.7109375" customWidth="1"/>
    <col min="6" max="6" width="10.140625" customWidth="1"/>
    <col min="7" max="7" width="68.140625" customWidth="1"/>
    <col min="8" max="8" width="13.42578125" customWidth="1"/>
    <col min="9" max="9" width="21" customWidth="1"/>
    <col min="10" max="10" width="33.140625" customWidth="1"/>
    <col min="11" max="11" width="37.7109375" customWidth="1"/>
    <col min="12" max="12" width="18.7109375" customWidth="1"/>
    <col min="13" max="13" width="59.7109375" customWidth="1"/>
    <col min="14" max="14" width="62.5703125" customWidth="1"/>
    <col min="15" max="15" width="23" customWidth="1"/>
    <col min="16" max="16" width="21.5703125" customWidth="1"/>
    <col min="17" max="17" width="16.5703125" customWidth="1"/>
    <col min="18" max="18" width="18.85546875" customWidth="1"/>
    <col min="19" max="19" width="18.5703125" customWidth="1"/>
    <col min="21" max="21" width="38.85546875" bestFit="1" customWidth="1"/>
    <col min="22" max="22" width="13.7109375" customWidth="1"/>
  </cols>
  <sheetData>
    <row r="4" spans="1:22" s="1" customFormat="1" x14ac:dyDescent="0.25">
      <c r="A4" s="2" t="s">
        <v>11</v>
      </c>
    </row>
    <row r="5" spans="1:22" s="1" customFormat="1" ht="18.75" x14ac:dyDescent="0.3">
      <c r="A5" s="3" t="s">
        <v>12</v>
      </c>
      <c r="C5" s="48" t="s">
        <v>13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29"/>
      <c r="O5" s="29"/>
      <c r="P5" s="29"/>
      <c r="Q5" s="29"/>
      <c r="R5" s="29"/>
      <c r="S5" s="29"/>
    </row>
    <row r="6" spans="1:22" s="1" customFormat="1" ht="18.75" x14ac:dyDescent="0.3">
      <c r="A6" s="2" t="s">
        <v>14</v>
      </c>
      <c r="C6" s="52" t="s">
        <v>15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30"/>
      <c r="O6" s="30"/>
      <c r="P6" s="30"/>
      <c r="Q6" s="29"/>
      <c r="R6" s="29"/>
      <c r="S6" s="29"/>
    </row>
    <row r="7" spans="1:22" s="1" customFormat="1" ht="15.75" x14ac:dyDescent="0.25">
      <c r="A7" s="2"/>
      <c r="T7" s="5"/>
      <c r="U7" s="5"/>
    </row>
    <row r="8" spans="1:22" s="1" customFormat="1" x14ac:dyDescent="0.25">
      <c r="A8" s="2"/>
    </row>
    <row r="10" spans="1:22" ht="25.5" customHeight="1" x14ac:dyDescent="0.25">
      <c r="A10" s="51" t="s">
        <v>16</v>
      </c>
      <c r="B10" s="51" t="s">
        <v>17</v>
      </c>
      <c r="C10" s="51" t="s">
        <v>18</v>
      </c>
      <c r="D10" s="51" t="s">
        <v>19</v>
      </c>
      <c r="E10" s="51" t="s">
        <v>20</v>
      </c>
      <c r="F10" s="51" t="s">
        <v>21</v>
      </c>
      <c r="G10" s="51" t="s">
        <v>22</v>
      </c>
      <c r="H10" s="49" t="s">
        <v>23</v>
      </c>
      <c r="I10" s="49"/>
      <c r="J10" s="49"/>
      <c r="K10" s="9" t="s">
        <v>24</v>
      </c>
      <c r="L10" s="51" t="s">
        <v>25</v>
      </c>
      <c r="M10" s="51" t="s">
        <v>26</v>
      </c>
      <c r="N10" s="51" t="s">
        <v>27</v>
      </c>
      <c r="S10" s="50"/>
      <c r="U10" s="47"/>
      <c r="V10" s="47"/>
    </row>
    <row r="11" spans="1:22" ht="27.75" customHeight="1" x14ac:dyDescent="0.25">
      <c r="A11" s="51"/>
      <c r="B11" s="51"/>
      <c r="C11" s="51"/>
      <c r="D11" s="51"/>
      <c r="E11" s="51"/>
      <c r="F11" s="51"/>
      <c r="G11" s="51"/>
      <c r="H11" s="9" t="s">
        <v>28</v>
      </c>
      <c r="I11" s="9" t="s">
        <v>29</v>
      </c>
      <c r="J11" s="9" t="s">
        <v>30</v>
      </c>
      <c r="K11" s="9"/>
      <c r="L11" s="51"/>
      <c r="M11" s="51"/>
      <c r="N11" s="51"/>
      <c r="S11" s="50"/>
      <c r="U11" s="47"/>
      <c r="V11" s="47"/>
    </row>
    <row r="12" spans="1:22" hidden="1" x14ac:dyDescent="0.25">
      <c r="A12" s="28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29</v>
      </c>
      <c r="J12" t="s">
        <v>30</v>
      </c>
      <c r="K12" t="s">
        <v>39</v>
      </c>
      <c r="L12" t="s">
        <v>25</v>
      </c>
      <c r="M12" t="s">
        <v>40</v>
      </c>
      <c r="N12" t="s">
        <v>41</v>
      </c>
      <c r="O12" s="21"/>
      <c r="P12" s="21"/>
    </row>
    <row r="13" spans="1:22" s="1" customFormat="1" x14ac:dyDescent="0.25">
      <c r="A13" s="8" t="s">
        <v>42</v>
      </c>
      <c r="B13" s="8" t="s">
        <v>43</v>
      </c>
      <c r="C13" s="8" t="s">
        <v>44</v>
      </c>
      <c r="D13" s="8" t="s">
        <v>45</v>
      </c>
      <c r="E13" s="8" t="s">
        <v>46</v>
      </c>
      <c r="F13" s="8" t="s">
        <v>42</v>
      </c>
      <c r="G13" s="8" t="s">
        <v>47</v>
      </c>
      <c r="H13" s="8" t="s">
        <v>48</v>
      </c>
      <c r="I13" s="8" t="s">
        <v>48</v>
      </c>
      <c r="J13" s="8" t="s">
        <v>49</v>
      </c>
      <c r="K13" s="8" t="s">
        <v>50</v>
      </c>
      <c r="L13" s="8" t="s">
        <v>51</v>
      </c>
      <c r="M13" s="8" t="s">
        <v>52</v>
      </c>
      <c r="N13" s="8" t="s">
        <v>53</v>
      </c>
      <c r="O13" s="22"/>
      <c r="P13" s="22"/>
    </row>
    <row r="14" spans="1:22" s="1" customFormat="1" x14ac:dyDescent="0.25">
      <c r="A14" s="8" t="s">
        <v>54</v>
      </c>
      <c r="B14" s="8" t="s">
        <v>43</v>
      </c>
      <c r="C14" s="8" t="s">
        <v>55</v>
      </c>
      <c r="D14" s="8" t="s">
        <v>56</v>
      </c>
      <c r="E14" s="8" t="s">
        <v>57</v>
      </c>
      <c r="F14" s="8" t="s">
        <v>54</v>
      </c>
      <c r="G14" s="8" t="s">
        <v>58</v>
      </c>
      <c r="H14" s="8" t="s">
        <v>48</v>
      </c>
      <c r="I14" s="8" t="s">
        <v>48</v>
      </c>
      <c r="J14" s="8" t="s">
        <v>49</v>
      </c>
      <c r="K14" s="8" t="s">
        <v>59</v>
      </c>
      <c r="L14" s="8" t="s">
        <v>51</v>
      </c>
      <c r="M14" s="8" t="s">
        <v>60</v>
      </c>
      <c r="N14" s="8" t="s">
        <v>61</v>
      </c>
      <c r="O14" s="22"/>
      <c r="P14" s="22"/>
    </row>
    <row r="15" spans="1:22" s="1" customFormat="1" x14ac:dyDescent="0.25">
      <c r="A15" s="8" t="s">
        <v>62</v>
      </c>
      <c r="B15" s="8" t="s">
        <v>43</v>
      </c>
      <c r="C15" s="8" t="s">
        <v>63</v>
      </c>
      <c r="D15" s="8" t="s">
        <v>64</v>
      </c>
      <c r="E15" s="8" t="s">
        <v>65</v>
      </c>
      <c r="F15" s="8" t="s">
        <v>62</v>
      </c>
      <c r="G15" s="8" t="s">
        <v>66</v>
      </c>
      <c r="H15" s="8" t="s">
        <v>67</v>
      </c>
      <c r="I15" s="8" t="s">
        <v>67</v>
      </c>
      <c r="J15" s="8" t="s">
        <v>68</v>
      </c>
      <c r="K15" s="8" t="s">
        <v>69</v>
      </c>
      <c r="L15" s="8" t="s">
        <v>51</v>
      </c>
      <c r="M15" s="8" t="s">
        <v>70</v>
      </c>
      <c r="N15" s="8" t="s">
        <v>71</v>
      </c>
      <c r="O15" s="22"/>
      <c r="P15" s="22"/>
    </row>
    <row r="16" spans="1:22" s="1" customFormat="1" x14ac:dyDescent="0.25">
      <c r="A16" s="8" t="s">
        <v>72</v>
      </c>
      <c r="B16" s="8" t="s">
        <v>73</v>
      </c>
      <c r="C16" s="8" t="s">
        <v>74</v>
      </c>
      <c r="D16" s="8" t="s">
        <v>74</v>
      </c>
      <c r="E16" s="8" t="s">
        <v>75</v>
      </c>
      <c r="F16" s="8" t="s">
        <v>76</v>
      </c>
      <c r="G16" s="8" t="s">
        <v>77</v>
      </c>
      <c r="H16" s="8" t="s">
        <v>78</v>
      </c>
      <c r="I16" s="8" t="s">
        <v>79</v>
      </c>
      <c r="J16" s="8" t="s">
        <v>80</v>
      </c>
      <c r="K16" s="8" t="s">
        <v>81</v>
      </c>
      <c r="L16" s="8" t="s">
        <v>51</v>
      </c>
      <c r="M16" s="8" t="s">
        <v>82</v>
      </c>
      <c r="N16" s="8" t="s">
        <v>83</v>
      </c>
      <c r="O16" s="22"/>
      <c r="P16" s="22"/>
    </row>
    <row r="17" spans="1:16" s="1" customFormat="1" x14ac:dyDescent="0.25">
      <c r="A17" s="8" t="s">
        <v>72</v>
      </c>
      <c r="B17" s="8" t="s">
        <v>73</v>
      </c>
      <c r="C17" s="8" t="s">
        <v>84</v>
      </c>
      <c r="D17" s="8" t="s">
        <v>84</v>
      </c>
      <c r="E17" s="8" t="s">
        <v>85</v>
      </c>
      <c r="F17" s="8" t="s">
        <v>76</v>
      </c>
      <c r="G17" s="8" t="s">
        <v>86</v>
      </c>
      <c r="H17" s="8" t="s">
        <v>78</v>
      </c>
      <c r="I17" s="8" t="s">
        <v>87</v>
      </c>
      <c r="J17" s="8" t="s">
        <v>88</v>
      </c>
      <c r="K17" s="8" t="s">
        <v>89</v>
      </c>
      <c r="L17" s="8" t="s">
        <v>51</v>
      </c>
      <c r="M17" s="8" t="s">
        <v>82</v>
      </c>
      <c r="N17" s="8" t="s">
        <v>90</v>
      </c>
      <c r="O17" s="22"/>
      <c r="P17" s="22"/>
    </row>
    <row r="18" spans="1:16" s="1" customFormat="1" x14ac:dyDescent="0.25">
      <c r="A18" s="8" t="s">
        <v>72</v>
      </c>
      <c r="B18" s="8" t="s">
        <v>73</v>
      </c>
      <c r="C18" s="8" t="s">
        <v>91</v>
      </c>
      <c r="D18" s="8" t="s">
        <v>91</v>
      </c>
      <c r="E18" s="8" t="s">
        <v>92</v>
      </c>
      <c r="F18" s="8" t="s">
        <v>76</v>
      </c>
      <c r="G18" s="8" t="s">
        <v>93</v>
      </c>
      <c r="H18" s="8" t="s">
        <v>78</v>
      </c>
      <c r="I18" s="8" t="s">
        <v>94</v>
      </c>
      <c r="J18" s="8" t="s">
        <v>94</v>
      </c>
      <c r="K18" s="8" t="s">
        <v>95</v>
      </c>
      <c r="L18" s="8" t="s">
        <v>51</v>
      </c>
      <c r="M18" s="8" t="s">
        <v>82</v>
      </c>
      <c r="N18" s="8" t="s">
        <v>96</v>
      </c>
      <c r="O18" s="22"/>
      <c r="P18" s="22"/>
    </row>
    <row r="19" spans="1:16" s="1" customFormat="1" x14ac:dyDescent="0.25">
      <c r="A19" s="8" t="s">
        <v>72</v>
      </c>
      <c r="B19" s="8" t="s">
        <v>73</v>
      </c>
      <c r="C19" s="8" t="s">
        <v>97</v>
      </c>
      <c r="D19" s="8" t="s">
        <v>98</v>
      </c>
      <c r="E19" s="8" t="s">
        <v>99</v>
      </c>
      <c r="F19" s="8" t="s">
        <v>100</v>
      </c>
      <c r="G19" s="8" t="s">
        <v>101</v>
      </c>
      <c r="H19" s="8" t="s">
        <v>78</v>
      </c>
      <c r="I19" s="8" t="s">
        <v>101</v>
      </c>
      <c r="J19" s="8" t="s">
        <v>102</v>
      </c>
      <c r="K19" s="8" t="s">
        <v>103</v>
      </c>
      <c r="L19" s="8" t="s">
        <v>51</v>
      </c>
      <c r="M19" s="8" t="s">
        <v>104</v>
      </c>
      <c r="N19" s="8" t="s">
        <v>105</v>
      </c>
      <c r="O19" s="22"/>
      <c r="P19" s="22"/>
    </row>
    <row r="20" spans="1:16" s="1" customFormat="1" x14ac:dyDescent="0.25">
      <c r="A20" s="8" t="s">
        <v>72</v>
      </c>
      <c r="B20" s="8" t="s">
        <v>73</v>
      </c>
      <c r="C20" s="8" t="s">
        <v>106</v>
      </c>
      <c r="D20" s="8" t="s">
        <v>107</v>
      </c>
      <c r="E20" s="8" t="s">
        <v>108</v>
      </c>
      <c r="F20" s="8" t="s">
        <v>100</v>
      </c>
      <c r="G20" s="8" t="s">
        <v>109</v>
      </c>
      <c r="H20" s="8" t="s">
        <v>78</v>
      </c>
      <c r="I20" s="8" t="s">
        <v>110</v>
      </c>
      <c r="J20" s="8" t="s">
        <v>111</v>
      </c>
      <c r="K20" s="8" t="s">
        <v>103</v>
      </c>
      <c r="L20" s="8" t="s">
        <v>51</v>
      </c>
      <c r="M20" s="8" t="s">
        <v>104</v>
      </c>
      <c r="N20" s="8" t="s">
        <v>112</v>
      </c>
      <c r="O20" s="22"/>
      <c r="P20" s="22"/>
    </row>
    <row r="21" spans="1:16" s="1" customFormat="1" x14ac:dyDescent="0.25">
      <c r="A21" s="8" t="s">
        <v>72</v>
      </c>
      <c r="B21" s="8" t="s">
        <v>73</v>
      </c>
      <c r="C21" s="8" t="s">
        <v>113</v>
      </c>
      <c r="D21" s="8" t="s">
        <v>114</v>
      </c>
      <c r="E21" s="8" t="s">
        <v>115</v>
      </c>
      <c r="F21" s="8" t="s">
        <v>116</v>
      </c>
      <c r="G21" s="8" t="s">
        <v>117</v>
      </c>
      <c r="H21" s="8" t="s">
        <v>78</v>
      </c>
      <c r="I21" s="8" t="s">
        <v>87</v>
      </c>
      <c r="J21" s="8" t="s">
        <v>117</v>
      </c>
      <c r="K21" s="8" t="s">
        <v>118</v>
      </c>
      <c r="L21" s="8" t="s">
        <v>51</v>
      </c>
      <c r="M21" s="8" t="s">
        <v>119</v>
      </c>
      <c r="N21" s="8" t="s">
        <v>120</v>
      </c>
      <c r="O21" s="22"/>
      <c r="P21" s="22"/>
    </row>
    <row r="22" spans="1:16" s="1" customFormat="1" x14ac:dyDescent="0.25">
      <c r="A22" s="8" t="s">
        <v>72</v>
      </c>
      <c r="B22" s="8" t="s">
        <v>73</v>
      </c>
      <c r="C22" s="8" t="s">
        <v>121</v>
      </c>
      <c r="D22" s="8" t="s">
        <v>121</v>
      </c>
      <c r="E22" s="8" t="s">
        <v>122</v>
      </c>
      <c r="F22" s="8" t="s">
        <v>116</v>
      </c>
      <c r="G22" s="8" t="s">
        <v>123</v>
      </c>
      <c r="H22" s="8" t="s">
        <v>78</v>
      </c>
      <c r="I22" s="8" t="s">
        <v>124</v>
      </c>
      <c r="J22" s="8" t="s">
        <v>123</v>
      </c>
      <c r="K22" s="8" t="s">
        <v>103</v>
      </c>
      <c r="L22" s="8" t="s">
        <v>51</v>
      </c>
      <c r="M22" s="8" t="s">
        <v>119</v>
      </c>
      <c r="N22" s="8" t="s">
        <v>125</v>
      </c>
      <c r="O22" s="22"/>
      <c r="P22" s="22"/>
    </row>
    <row r="23" spans="1:16" s="1" customFormat="1" x14ac:dyDescent="0.25">
      <c r="A23" s="8" t="s">
        <v>72</v>
      </c>
      <c r="B23" s="8" t="s">
        <v>73</v>
      </c>
      <c r="C23" s="8" t="s">
        <v>126</v>
      </c>
      <c r="D23" s="8" t="s">
        <v>126</v>
      </c>
      <c r="E23" s="8" t="s">
        <v>127</v>
      </c>
      <c r="F23" s="8" t="s">
        <v>116</v>
      </c>
      <c r="G23" s="8" t="s">
        <v>128</v>
      </c>
      <c r="H23" s="8" t="s">
        <v>78</v>
      </c>
      <c r="I23" s="8" t="s">
        <v>79</v>
      </c>
      <c r="J23" s="8" t="s">
        <v>128</v>
      </c>
      <c r="K23" s="8" t="s">
        <v>103</v>
      </c>
      <c r="L23" s="8" t="s">
        <v>51</v>
      </c>
      <c r="M23" s="8" t="s">
        <v>119</v>
      </c>
      <c r="N23" s="8" t="s">
        <v>129</v>
      </c>
      <c r="O23" s="22"/>
      <c r="P23" s="22"/>
    </row>
    <row r="24" spans="1:16" s="1" customFormat="1" x14ac:dyDescent="0.25">
      <c r="A24" s="8" t="s">
        <v>72</v>
      </c>
      <c r="B24" s="8" t="s">
        <v>73</v>
      </c>
      <c r="C24" s="8" t="s">
        <v>130</v>
      </c>
      <c r="D24" s="8" t="s">
        <v>130</v>
      </c>
      <c r="E24" s="8" t="s">
        <v>131</v>
      </c>
      <c r="F24" s="8" t="s">
        <v>116</v>
      </c>
      <c r="G24" s="8" t="s">
        <v>132</v>
      </c>
      <c r="H24" s="8" t="s">
        <v>78</v>
      </c>
      <c r="I24" s="8" t="s">
        <v>124</v>
      </c>
      <c r="J24" s="8" t="s">
        <v>132</v>
      </c>
      <c r="K24" s="8" t="s">
        <v>103</v>
      </c>
      <c r="L24" s="8" t="s">
        <v>51</v>
      </c>
      <c r="M24" s="8" t="s">
        <v>119</v>
      </c>
      <c r="N24" s="8" t="s">
        <v>133</v>
      </c>
      <c r="O24" s="22"/>
      <c r="P24" s="22"/>
    </row>
    <row r="25" spans="1:16" s="1" customFormat="1" x14ac:dyDescent="0.25">
      <c r="A25" s="8" t="s">
        <v>72</v>
      </c>
      <c r="B25" s="8" t="s">
        <v>73</v>
      </c>
      <c r="C25" s="8" t="s">
        <v>134</v>
      </c>
      <c r="D25" s="8" t="s">
        <v>134</v>
      </c>
      <c r="E25" s="8" t="s">
        <v>135</v>
      </c>
      <c r="F25" s="8" t="s">
        <v>116</v>
      </c>
      <c r="G25" s="8" t="s">
        <v>136</v>
      </c>
      <c r="H25" s="8" t="s">
        <v>78</v>
      </c>
      <c r="I25" s="8" t="s">
        <v>137</v>
      </c>
      <c r="J25" s="8" t="s">
        <v>138</v>
      </c>
      <c r="K25" s="8" t="s">
        <v>103</v>
      </c>
      <c r="L25" s="8" t="s">
        <v>51</v>
      </c>
      <c r="M25" s="8" t="s">
        <v>119</v>
      </c>
      <c r="N25" s="8" t="s">
        <v>139</v>
      </c>
      <c r="O25" s="22"/>
      <c r="P25" s="22"/>
    </row>
    <row r="26" spans="1:16" s="1" customFormat="1" x14ac:dyDescent="0.25">
      <c r="A26" s="8" t="s">
        <v>140</v>
      </c>
      <c r="B26" s="8" t="s">
        <v>141</v>
      </c>
      <c r="C26" s="8" t="s">
        <v>142</v>
      </c>
      <c r="D26" s="8" t="s">
        <v>142</v>
      </c>
      <c r="E26" s="8" t="s">
        <v>143</v>
      </c>
      <c r="F26" s="8" t="s">
        <v>144</v>
      </c>
      <c r="G26" s="8" t="s">
        <v>145</v>
      </c>
      <c r="H26" s="8" t="s">
        <v>146</v>
      </c>
      <c r="I26" s="8" t="s">
        <v>147</v>
      </c>
      <c r="J26" s="8" t="s">
        <v>145</v>
      </c>
      <c r="K26" s="8" t="s">
        <v>148</v>
      </c>
      <c r="L26" s="8" t="s">
        <v>51</v>
      </c>
      <c r="M26" s="8" t="s">
        <v>149</v>
      </c>
      <c r="N26" s="8"/>
      <c r="O26" s="22"/>
      <c r="P26" s="22"/>
    </row>
    <row r="27" spans="1:16" s="1" customFormat="1" x14ac:dyDescent="0.25">
      <c r="A27" s="8" t="s">
        <v>140</v>
      </c>
      <c r="B27" s="8" t="s">
        <v>141</v>
      </c>
      <c r="C27" s="8" t="s">
        <v>150</v>
      </c>
      <c r="D27" s="8" t="s">
        <v>150</v>
      </c>
      <c r="E27" s="8" t="s">
        <v>151</v>
      </c>
      <c r="F27" s="8" t="s">
        <v>76</v>
      </c>
      <c r="G27" s="8" t="s">
        <v>152</v>
      </c>
      <c r="H27" s="8" t="s">
        <v>146</v>
      </c>
      <c r="I27" s="8" t="s">
        <v>147</v>
      </c>
      <c r="J27" s="8" t="s">
        <v>145</v>
      </c>
      <c r="K27" s="8" t="s">
        <v>153</v>
      </c>
      <c r="L27" s="8" t="s">
        <v>51</v>
      </c>
      <c r="M27" s="8" t="s">
        <v>154</v>
      </c>
      <c r="N27" s="8" t="s">
        <v>155</v>
      </c>
      <c r="O27" s="22"/>
      <c r="P27" s="22"/>
    </row>
    <row r="28" spans="1:16" s="1" customFormat="1" x14ac:dyDescent="0.25">
      <c r="A28" s="8" t="s">
        <v>140</v>
      </c>
      <c r="B28" s="8" t="s">
        <v>141</v>
      </c>
      <c r="C28" s="8" t="s">
        <v>156</v>
      </c>
      <c r="D28" s="8" t="s">
        <v>156</v>
      </c>
      <c r="E28" s="8" t="s">
        <v>157</v>
      </c>
      <c r="F28" s="8" t="s">
        <v>158</v>
      </c>
      <c r="G28" s="8" t="s">
        <v>159</v>
      </c>
      <c r="H28" s="8" t="s">
        <v>146</v>
      </c>
      <c r="I28" s="8" t="s">
        <v>147</v>
      </c>
      <c r="J28" s="8" t="s">
        <v>145</v>
      </c>
      <c r="K28" s="8" t="s">
        <v>160</v>
      </c>
      <c r="L28" s="8" t="s">
        <v>51</v>
      </c>
      <c r="M28" s="8" t="s">
        <v>104</v>
      </c>
      <c r="N28" s="8" t="s">
        <v>161</v>
      </c>
      <c r="O28" s="22"/>
      <c r="P28" s="22"/>
    </row>
    <row r="29" spans="1:16" s="1" customFormat="1" x14ac:dyDescent="0.25">
      <c r="A29" s="8" t="s">
        <v>140</v>
      </c>
      <c r="B29" s="8" t="s">
        <v>141</v>
      </c>
      <c r="C29" s="8" t="s">
        <v>162</v>
      </c>
      <c r="D29" s="8" t="s">
        <v>162</v>
      </c>
      <c r="E29" s="8" t="s">
        <v>163</v>
      </c>
      <c r="F29" s="8" t="s">
        <v>164</v>
      </c>
      <c r="G29" s="8" t="s">
        <v>165</v>
      </c>
      <c r="H29" s="8" t="s">
        <v>146</v>
      </c>
      <c r="I29" s="8" t="s">
        <v>165</v>
      </c>
      <c r="J29" s="8" t="s">
        <v>165</v>
      </c>
      <c r="K29" s="8" t="s">
        <v>148</v>
      </c>
      <c r="L29" s="8" t="s">
        <v>51</v>
      </c>
      <c r="M29" s="8" t="s">
        <v>104</v>
      </c>
      <c r="N29" s="8" t="s">
        <v>166</v>
      </c>
      <c r="O29" s="22"/>
      <c r="P29" s="22"/>
    </row>
    <row r="30" spans="1:16" s="1" customFormat="1" x14ac:dyDescent="0.25">
      <c r="A30" s="8" t="s">
        <v>140</v>
      </c>
      <c r="B30" s="8" t="s">
        <v>141</v>
      </c>
      <c r="C30" s="8" t="s">
        <v>167</v>
      </c>
      <c r="D30" s="8" t="s">
        <v>167</v>
      </c>
      <c r="E30" s="8" t="s">
        <v>168</v>
      </c>
      <c r="F30" s="8" t="s">
        <v>164</v>
      </c>
      <c r="G30" s="8" t="s">
        <v>169</v>
      </c>
      <c r="H30" s="8" t="s">
        <v>146</v>
      </c>
      <c r="I30" s="8" t="s">
        <v>147</v>
      </c>
      <c r="J30" s="8" t="s">
        <v>169</v>
      </c>
      <c r="K30" s="8" t="s">
        <v>148</v>
      </c>
      <c r="L30" s="8" t="s">
        <v>51</v>
      </c>
      <c r="M30" s="8" t="s">
        <v>104</v>
      </c>
      <c r="N30" s="8" t="s">
        <v>170</v>
      </c>
      <c r="O30" s="22"/>
      <c r="P30" s="22"/>
    </row>
    <row r="31" spans="1:16" s="1" customFormat="1" x14ac:dyDescent="0.25">
      <c r="A31" s="8" t="s">
        <v>140</v>
      </c>
      <c r="B31" s="8" t="s">
        <v>141</v>
      </c>
      <c r="C31" s="8" t="s">
        <v>171</v>
      </c>
      <c r="D31" s="8" t="s">
        <v>171</v>
      </c>
      <c r="E31" s="8" t="s">
        <v>172</v>
      </c>
      <c r="F31" s="8" t="s">
        <v>164</v>
      </c>
      <c r="G31" s="8" t="s">
        <v>173</v>
      </c>
      <c r="H31" s="8" t="s">
        <v>146</v>
      </c>
      <c r="I31" s="8" t="s">
        <v>173</v>
      </c>
      <c r="J31" s="8" t="s">
        <v>173</v>
      </c>
      <c r="K31" s="8" t="s">
        <v>148</v>
      </c>
      <c r="L31" s="8" t="s">
        <v>51</v>
      </c>
      <c r="M31" s="8" t="s">
        <v>154</v>
      </c>
      <c r="N31" s="8" t="s">
        <v>174</v>
      </c>
      <c r="O31" s="22"/>
      <c r="P31" s="22"/>
    </row>
    <row r="32" spans="1:16" s="1" customFormat="1" x14ac:dyDescent="0.25">
      <c r="A32" s="8" t="s">
        <v>140</v>
      </c>
      <c r="B32" s="8" t="s">
        <v>141</v>
      </c>
      <c r="C32" s="8" t="s">
        <v>175</v>
      </c>
      <c r="D32" s="8" t="s">
        <v>175</v>
      </c>
      <c r="E32" s="8" t="s">
        <v>176</v>
      </c>
      <c r="F32" s="8" t="s">
        <v>164</v>
      </c>
      <c r="G32" s="8" t="s">
        <v>177</v>
      </c>
      <c r="H32" s="8" t="s">
        <v>146</v>
      </c>
      <c r="I32" s="8" t="s">
        <v>177</v>
      </c>
      <c r="J32" s="8" t="s">
        <v>177</v>
      </c>
      <c r="K32" s="8" t="s">
        <v>148</v>
      </c>
      <c r="L32" s="8" t="s">
        <v>51</v>
      </c>
      <c r="M32" s="8" t="s">
        <v>104</v>
      </c>
      <c r="N32" s="8" t="s">
        <v>178</v>
      </c>
      <c r="O32" s="22"/>
      <c r="P32" s="22"/>
    </row>
    <row r="33" spans="1:16" s="1" customFormat="1" x14ac:dyDescent="0.25">
      <c r="A33" s="8" t="s">
        <v>140</v>
      </c>
      <c r="B33" s="8" t="s">
        <v>141</v>
      </c>
      <c r="C33" s="8" t="s">
        <v>179</v>
      </c>
      <c r="D33" s="8" t="s">
        <v>179</v>
      </c>
      <c r="E33" s="8" t="s">
        <v>180</v>
      </c>
      <c r="F33" s="8" t="s">
        <v>100</v>
      </c>
      <c r="G33" s="8" t="s">
        <v>181</v>
      </c>
      <c r="H33" s="8" t="s">
        <v>146</v>
      </c>
      <c r="I33" s="8" t="s">
        <v>147</v>
      </c>
      <c r="J33" s="8" t="s">
        <v>182</v>
      </c>
      <c r="K33" s="8" t="s">
        <v>183</v>
      </c>
      <c r="L33" s="8" t="s">
        <v>51</v>
      </c>
      <c r="M33" s="8" t="s">
        <v>104</v>
      </c>
      <c r="N33" s="8" t="s">
        <v>184</v>
      </c>
      <c r="O33" s="22"/>
      <c r="P33" s="22"/>
    </row>
    <row r="34" spans="1:16" s="1" customFormat="1" x14ac:dyDescent="0.25">
      <c r="A34" s="8" t="s">
        <v>140</v>
      </c>
      <c r="B34" s="8" t="s">
        <v>141</v>
      </c>
      <c r="C34" s="8" t="s">
        <v>185</v>
      </c>
      <c r="D34" s="8" t="s">
        <v>185</v>
      </c>
      <c r="E34" s="8" t="s">
        <v>186</v>
      </c>
      <c r="F34" s="8" t="s">
        <v>187</v>
      </c>
      <c r="G34" s="8" t="s">
        <v>188</v>
      </c>
      <c r="H34" s="8" t="s">
        <v>146</v>
      </c>
      <c r="I34" s="8" t="s">
        <v>189</v>
      </c>
      <c r="J34" s="8" t="s">
        <v>188</v>
      </c>
      <c r="K34" s="8" t="s">
        <v>190</v>
      </c>
      <c r="L34" s="8" t="s">
        <v>51</v>
      </c>
      <c r="M34" s="8" t="s">
        <v>104</v>
      </c>
      <c r="N34" s="8" t="s">
        <v>191</v>
      </c>
      <c r="O34" s="22"/>
      <c r="P34" s="22"/>
    </row>
    <row r="35" spans="1:16" s="1" customFormat="1" x14ac:dyDescent="0.25">
      <c r="A35" s="8" t="s">
        <v>140</v>
      </c>
      <c r="B35" s="8" t="s">
        <v>141</v>
      </c>
      <c r="C35" s="8" t="s">
        <v>192</v>
      </c>
      <c r="D35" s="8" t="s">
        <v>192</v>
      </c>
      <c r="E35" s="8" t="s">
        <v>193</v>
      </c>
      <c r="F35" s="8" t="s">
        <v>187</v>
      </c>
      <c r="G35" s="8" t="s">
        <v>194</v>
      </c>
      <c r="H35" s="8" t="s">
        <v>146</v>
      </c>
      <c r="I35" s="8" t="s">
        <v>189</v>
      </c>
      <c r="J35" s="8" t="s">
        <v>194</v>
      </c>
      <c r="K35" s="8" t="s">
        <v>190</v>
      </c>
      <c r="L35" s="8" t="s">
        <v>51</v>
      </c>
      <c r="M35" s="8" t="s">
        <v>119</v>
      </c>
      <c r="N35" s="8" t="s">
        <v>195</v>
      </c>
      <c r="O35" s="22"/>
      <c r="P35" s="22"/>
    </row>
    <row r="36" spans="1:16" s="1" customFormat="1" x14ac:dyDescent="0.25">
      <c r="A36" s="8" t="s">
        <v>140</v>
      </c>
      <c r="B36" s="8" t="s">
        <v>141</v>
      </c>
      <c r="C36" s="8" t="s">
        <v>196</v>
      </c>
      <c r="D36" s="8" t="s">
        <v>196</v>
      </c>
      <c r="E36" s="8" t="s">
        <v>197</v>
      </c>
      <c r="F36" s="8" t="s">
        <v>187</v>
      </c>
      <c r="G36" s="8" t="s">
        <v>189</v>
      </c>
      <c r="H36" s="8" t="s">
        <v>146</v>
      </c>
      <c r="I36" s="8" t="s">
        <v>189</v>
      </c>
      <c r="J36" s="8" t="s">
        <v>189</v>
      </c>
      <c r="K36" s="8" t="s">
        <v>190</v>
      </c>
      <c r="L36" s="8" t="s">
        <v>51</v>
      </c>
      <c r="M36" s="8" t="s">
        <v>119</v>
      </c>
      <c r="N36" s="8" t="s">
        <v>198</v>
      </c>
      <c r="O36" s="22"/>
      <c r="P36" s="22"/>
    </row>
    <row r="37" spans="1:16" s="1" customFormat="1" x14ac:dyDescent="0.25">
      <c r="A37" s="8" t="s">
        <v>140</v>
      </c>
      <c r="B37" s="8" t="s">
        <v>141</v>
      </c>
      <c r="C37" s="8" t="s">
        <v>199</v>
      </c>
      <c r="D37" s="8" t="s">
        <v>199</v>
      </c>
      <c r="E37" s="8" t="s">
        <v>200</v>
      </c>
      <c r="F37" s="8" t="s">
        <v>187</v>
      </c>
      <c r="G37" s="8" t="s">
        <v>201</v>
      </c>
      <c r="H37" s="8" t="s">
        <v>146</v>
      </c>
      <c r="I37" s="8" t="s">
        <v>189</v>
      </c>
      <c r="J37" s="8" t="s">
        <v>201</v>
      </c>
      <c r="K37" s="8" t="s">
        <v>190</v>
      </c>
      <c r="L37" s="8" t="s">
        <v>51</v>
      </c>
      <c r="M37" s="8" t="s">
        <v>119</v>
      </c>
      <c r="N37" s="8" t="s">
        <v>202</v>
      </c>
      <c r="O37" s="22"/>
      <c r="P37" s="22"/>
    </row>
    <row r="38" spans="1:16" s="1" customFormat="1" x14ac:dyDescent="0.25">
      <c r="A38" s="8" t="s">
        <v>203</v>
      </c>
      <c r="B38" s="8" t="s">
        <v>73</v>
      </c>
      <c r="C38" s="8" t="s">
        <v>204</v>
      </c>
      <c r="D38" s="8" t="s">
        <v>204</v>
      </c>
      <c r="E38" s="8" t="s">
        <v>205</v>
      </c>
      <c r="F38" s="8" t="s">
        <v>206</v>
      </c>
      <c r="G38" s="8" t="s">
        <v>207</v>
      </c>
      <c r="H38" s="8" t="s">
        <v>208</v>
      </c>
      <c r="I38" s="8" t="s">
        <v>207</v>
      </c>
      <c r="J38" s="8" t="s">
        <v>207</v>
      </c>
      <c r="K38" s="8" t="s">
        <v>209</v>
      </c>
      <c r="L38" s="8" t="s">
        <v>51</v>
      </c>
      <c r="M38" s="8" t="s">
        <v>210</v>
      </c>
      <c r="N38" s="8" t="s">
        <v>211</v>
      </c>
      <c r="O38" s="22"/>
      <c r="P38" s="22"/>
    </row>
    <row r="39" spans="1:16" s="1" customFormat="1" x14ac:dyDescent="0.25">
      <c r="A39" s="8" t="s">
        <v>203</v>
      </c>
      <c r="B39" s="8" t="s">
        <v>73</v>
      </c>
      <c r="C39" s="8" t="s">
        <v>212</v>
      </c>
      <c r="D39" s="8" t="s">
        <v>212</v>
      </c>
      <c r="E39" s="8" t="s">
        <v>213</v>
      </c>
      <c r="F39" s="8" t="s">
        <v>76</v>
      </c>
      <c r="G39" s="8" t="s">
        <v>214</v>
      </c>
      <c r="H39" s="8" t="s">
        <v>208</v>
      </c>
      <c r="I39" s="8" t="s">
        <v>214</v>
      </c>
      <c r="J39" s="8" t="s">
        <v>214</v>
      </c>
      <c r="K39" s="8" t="s">
        <v>148</v>
      </c>
      <c r="L39" s="8" t="s">
        <v>51</v>
      </c>
      <c r="M39" s="8" t="s">
        <v>82</v>
      </c>
      <c r="N39" s="8" t="s">
        <v>215</v>
      </c>
      <c r="O39" s="22"/>
      <c r="P39" s="22"/>
    </row>
    <row r="40" spans="1:16" s="1" customFormat="1" x14ac:dyDescent="0.25">
      <c r="A40" s="8" t="s">
        <v>203</v>
      </c>
      <c r="B40" s="8" t="s">
        <v>73</v>
      </c>
      <c r="C40" s="8" t="s">
        <v>216</v>
      </c>
      <c r="D40" s="8" t="s">
        <v>216</v>
      </c>
      <c r="E40" s="8" t="s">
        <v>217</v>
      </c>
      <c r="F40" s="8" t="s">
        <v>100</v>
      </c>
      <c r="G40" s="8" t="s">
        <v>218</v>
      </c>
      <c r="H40" s="8" t="s">
        <v>208</v>
      </c>
      <c r="I40" s="8" t="s">
        <v>219</v>
      </c>
      <c r="J40" s="8" t="s">
        <v>218</v>
      </c>
      <c r="K40" s="8" t="s">
        <v>220</v>
      </c>
      <c r="L40" s="8" t="s">
        <v>51</v>
      </c>
      <c r="M40" s="8" t="s">
        <v>104</v>
      </c>
      <c r="N40" s="8" t="s">
        <v>221</v>
      </c>
      <c r="O40" s="22"/>
      <c r="P40" s="22"/>
    </row>
    <row r="41" spans="1:16" s="1" customFormat="1" x14ac:dyDescent="0.25">
      <c r="A41" s="8" t="s">
        <v>203</v>
      </c>
      <c r="B41" s="8" t="s">
        <v>73</v>
      </c>
      <c r="C41" s="8" t="s">
        <v>222</v>
      </c>
      <c r="D41" s="8" t="s">
        <v>223</v>
      </c>
      <c r="E41" s="8" t="s">
        <v>224</v>
      </c>
      <c r="F41" s="8" t="s">
        <v>100</v>
      </c>
      <c r="G41" s="8" t="s">
        <v>225</v>
      </c>
      <c r="H41" s="8" t="s">
        <v>208</v>
      </c>
      <c r="I41" s="8" t="s">
        <v>225</v>
      </c>
      <c r="J41" s="8" t="s">
        <v>225</v>
      </c>
      <c r="K41" s="8" t="s">
        <v>226</v>
      </c>
      <c r="L41" s="8" t="s">
        <v>51</v>
      </c>
      <c r="M41" s="8" t="s">
        <v>104</v>
      </c>
      <c r="N41" s="8" t="s">
        <v>227</v>
      </c>
      <c r="O41" s="22"/>
      <c r="P41" s="22"/>
    </row>
    <row r="42" spans="1:16" s="1" customFormat="1" x14ac:dyDescent="0.25">
      <c r="A42" s="8" t="s">
        <v>203</v>
      </c>
      <c r="B42" s="8" t="s">
        <v>73</v>
      </c>
      <c r="C42" s="8" t="s">
        <v>228</v>
      </c>
      <c r="D42" s="8" t="s">
        <v>228</v>
      </c>
      <c r="E42" s="8" t="s">
        <v>229</v>
      </c>
      <c r="F42" s="8" t="s">
        <v>100</v>
      </c>
      <c r="G42" s="8" t="s">
        <v>230</v>
      </c>
      <c r="H42" s="8" t="s">
        <v>208</v>
      </c>
      <c r="I42" s="8" t="s">
        <v>230</v>
      </c>
      <c r="J42" s="8" t="s">
        <v>231</v>
      </c>
      <c r="K42" s="8" t="s">
        <v>232</v>
      </c>
      <c r="L42" s="8" t="s">
        <v>51</v>
      </c>
      <c r="M42" s="8" t="s">
        <v>119</v>
      </c>
      <c r="N42" s="8" t="s">
        <v>233</v>
      </c>
      <c r="O42" s="22"/>
      <c r="P42" s="22"/>
    </row>
    <row r="43" spans="1:16" s="1" customFormat="1" x14ac:dyDescent="0.25">
      <c r="A43" s="8" t="s">
        <v>203</v>
      </c>
      <c r="B43" s="8" t="s">
        <v>73</v>
      </c>
      <c r="C43" s="8" t="s">
        <v>234</v>
      </c>
      <c r="D43" s="8" t="s">
        <v>234</v>
      </c>
      <c r="E43" s="8" t="s">
        <v>235</v>
      </c>
      <c r="F43" s="8" t="s">
        <v>187</v>
      </c>
      <c r="G43" s="8" t="s">
        <v>236</v>
      </c>
      <c r="H43" s="8" t="s">
        <v>208</v>
      </c>
      <c r="I43" s="8" t="s">
        <v>237</v>
      </c>
      <c r="J43" s="8" t="s">
        <v>236</v>
      </c>
      <c r="K43" s="8" t="s">
        <v>190</v>
      </c>
      <c r="L43" s="8" t="s">
        <v>51</v>
      </c>
      <c r="M43" s="8" t="s">
        <v>119</v>
      </c>
      <c r="N43" s="8" t="s">
        <v>238</v>
      </c>
      <c r="O43" s="22"/>
      <c r="P43" s="22"/>
    </row>
    <row r="44" spans="1:16" s="1" customFormat="1" x14ac:dyDescent="0.25">
      <c r="A44" s="8" t="s">
        <v>203</v>
      </c>
      <c r="B44" s="8" t="s">
        <v>73</v>
      </c>
      <c r="C44" s="8" t="s">
        <v>239</v>
      </c>
      <c r="D44" s="8" t="s">
        <v>239</v>
      </c>
      <c r="E44" s="8" t="s">
        <v>240</v>
      </c>
      <c r="F44" s="8" t="s">
        <v>187</v>
      </c>
      <c r="G44" s="8" t="s">
        <v>241</v>
      </c>
      <c r="H44" s="8" t="s">
        <v>208</v>
      </c>
      <c r="I44" s="8" t="s">
        <v>207</v>
      </c>
      <c r="J44" s="8" t="s">
        <v>241</v>
      </c>
      <c r="K44" s="8" t="s">
        <v>190</v>
      </c>
      <c r="L44" s="8" t="s">
        <v>51</v>
      </c>
      <c r="M44" s="8" t="s">
        <v>119</v>
      </c>
      <c r="N44" s="8" t="s">
        <v>242</v>
      </c>
      <c r="O44" s="23"/>
      <c r="P44" s="23"/>
    </row>
    <row r="45" spans="1:16" s="1" customFormat="1" x14ac:dyDescent="0.25">
      <c r="A45" s="8" t="s">
        <v>203</v>
      </c>
      <c r="B45" s="8" t="s">
        <v>73</v>
      </c>
      <c r="C45" s="8" t="s">
        <v>243</v>
      </c>
      <c r="D45" s="8" t="s">
        <v>243</v>
      </c>
      <c r="E45" s="8" t="s">
        <v>244</v>
      </c>
      <c r="F45" s="8" t="s">
        <v>116</v>
      </c>
      <c r="G45" s="8" t="s">
        <v>245</v>
      </c>
      <c r="H45" s="8" t="s">
        <v>208</v>
      </c>
      <c r="I45" s="8" t="s">
        <v>245</v>
      </c>
      <c r="J45" s="8" t="s">
        <v>245</v>
      </c>
      <c r="K45" s="8" t="s">
        <v>246</v>
      </c>
      <c r="L45" s="8" t="s">
        <v>51</v>
      </c>
      <c r="M45" s="8" t="s">
        <v>119</v>
      </c>
      <c r="N45" s="8" t="s">
        <v>247</v>
      </c>
    </row>
    <row r="46" spans="1:16" s="1" customFormat="1" x14ac:dyDescent="0.25">
      <c r="A46" s="8" t="s">
        <v>248</v>
      </c>
      <c r="B46" s="8" t="s">
        <v>249</v>
      </c>
      <c r="C46" s="8" t="s">
        <v>250</v>
      </c>
      <c r="D46" s="8" t="s">
        <v>250</v>
      </c>
      <c r="E46" s="8" t="s">
        <v>251</v>
      </c>
      <c r="F46" s="8" t="s">
        <v>252</v>
      </c>
      <c r="G46" s="8" t="s">
        <v>253</v>
      </c>
      <c r="H46" s="8" t="s">
        <v>254</v>
      </c>
      <c r="I46" s="8" t="s">
        <v>254</v>
      </c>
      <c r="J46" s="8" t="s">
        <v>254</v>
      </c>
      <c r="K46" s="8" t="s">
        <v>255</v>
      </c>
      <c r="L46" s="8" t="s">
        <v>51</v>
      </c>
      <c r="M46" s="8" t="s">
        <v>256</v>
      </c>
      <c r="N46" s="8" t="s">
        <v>257</v>
      </c>
    </row>
    <row r="47" spans="1:16" s="1" customFormat="1" x14ac:dyDescent="0.25">
      <c r="A47" s="8" t="s">
        <v>248</v>
      </c>
      <c r="B47" s="8" t="s">
        <v>249</v>
      </c>
      <c r="C47" s="8" t="s">
        <v>258</v>
      </c>
      <c r="D47" s="8" t="s">
        <v>258</v>
      </c>
      <c r="E47" s="8" t="s">
        <v>259</v>
      </c>
      <c r="F47" s="8" t="s">
        <v>144</v>
      </c>
      <c r="G47" s="8" t="s">
        <v>260</v>
      </c>
      <c r="H47" s="8" t="s">
        <v>254</v>
      </c>
      <c r="I47" s="8" t="s">
        <v>254</v>
      </c>
      <c r="J47" s="8" t="s">
        <v>260</v>
      </c>
      <c r="K47" s="8" t="s">
        <v>261</v>
      </c>
      <c r="L47" s="8" t="s">
        <v>51</v>
      </c>
      <c r="M47" s="8" t="s">
        <v>82</v>
      </c>
      <c r="N47" s="8" t="s">
        <v>262</v>
      </c>
    </row>
    <row r="48" spans="1:16" s="1" customFormat="1" x14ac:dyDescent="0.25">
      <c r="A48" s="8" t="s">
        <v>248</v>
      </c>
      <c r="B48" s="8" t="s">
        <v>249</v>
      </c>
      <c r="C48" s="8" t="s">
        <v>263</v>
      </c>
      <c r="D48" s="8" t="s">
        <v>263</v>
      </c>
      <c r="E48" s="8" t="s">
        <v>264</v>
      </c>
      <c r="F48" s="8" t="s">
        <v>206</v>
      </c>
      <c r="G48" s="8" t="s">
        <v>265</v>
      </c>
      <c r="H48" s="8" t="s">
        <v>254</v>
      </c>
      <c r="I48" s="8" t="s">
        <v>266</v>
      </c>
      <c r="J48" s="8" t="s">
        <v>267</v>
      </c>
      <c r="K48" s="8" t="s">
        <v>148</v>
      </c>
      <c r="L48" s="8" t="s">
        <v>51</v>
      </c>
      <c r="M48" s="8" t="s">
        <v>70</v>
      </c>
      <c r="N48" s="8" t="s">
        <v>268</v>
      </c>
    </row>
    <row r="49" spans="1:14" s="1" customFormat="1" x14ac:dyDescent="0.25">
      <c r="A49" s="8" t="s">
        <v>248</v>
      </c>
      <c r="B49" s="8" t="s">
        <v>249</v>
      </c>
      <c r="C49" s="8" t="s">
        <v>269</v>
      </c>
      <c r="D49" s="8" t="s">
        <v>269</v>
      </c>
      <c r="E49" s="8" t="s">
        <v>270</v>
      </c>
      <c r="F49" s="8" t="s">
        <v>76</v>
      </c>
      <c r="G49" s="8" t="s">
        <v>271</v>
      </c>
      <c r="H49" s="8" t="s">
        <v>254</v>
      </c>
      <c r="I49" s="8" t="s">
        <v>254</v>
      </c>
      <c r="J49" s="8" t="s">
        <v>272</v>
      </c>
      <c r="K49" s="8" t="s">
        <v>273</v>
      </c>
      <c r="L49" s="8" t="s">
        <v>51</v>
      </c>
      <c r="M49" s="8" t="s">
        <v>154</v>
      </c>
      <c r="N49" s="8" t="s">
        <v>274</v>
      </c>
    </row>
    <row r="50" spans="1:14" s="1" customFormat="1" x14ac:dyDescent="0.25">
      <c r="A50" s="8" t="s">
        <v>248</v>
      </c>
      <c r="B50" s="8" t="s">
        <v>249</v>
      </c>
      <c r="C50" s="8" t="s">
        <v>275</v>
      </c>
      <c r="D50" s="8" t="s">
        <v>275</v>
      </c>
      <c r="E50" s="8" t="s">
        <v>276</v>
      </c>
      <c r="F50" s="8" t="s">
        <v>76</v>
      </c>
      <c r="G50" s="8" t="s">
        <v>277</v>
      </c>
      <c r="H50" s="8" t="s">
        <v>254</v>
      </c>
      <c r="I50" s="8" t="s">
        <v>278</v>
      </c>
      <c r="J50" s="8" t="s">
        <v>277</v>
      </c>
      <c r="K50" s="8" t="s">
        <v>279</v>
      </c>
      <c r="L50" s="8" t="s">
        <v>51</v>
      </c>
      <c r="M50" s="8" t="s">
        <v>154</v>
      </c>
      <c r="N50" s="8" t="s">
        <v>280</v>
      </c>
    </row>
    <row r="51" spans="1:14" s="1" customFormat="1" x14ac:dyDescent="0.25">
      <c r="A51" s="8" t="s">
        <v>248</v>
      </c>
      <c r="B51" s="8" t="s">
        <v>249</v>
      </c>
      <c r="C51" s="8" t="s">
        <v>281</v>
      </c>
      <c r="D51" s="8" t="s">
        <v>281</v>
      </c>
      <c r="E51" s="8" t="s">
        <v>282</v>
      </c>
      <c r="F51" s="8" t="s">
        <v>158</v>
      </c>
      <c r="G51" s="8" t="s">
        <v>283</v>
      </c>
      <c r="H51" s="8" t="s">
        <v>254</v>
      </c>
      <c r="I51" s="8" t="s">
        <v>254</v>
      </c>
      <c r="J51" s="8" t="s">
        <v>254</v>
      </c>
      <c r="K51" s="8" t="s">
        <v>284</v>
      </c>
      <c r="L51" s="8" t="s">
        <v>51</v>
      </c>
      <c r="M51" s="8" t="s">
        <v>104</v>
      </c>
      <c r="N51" s="8" t="s">
        <v>285</v>
      </c>
    </row>
    <row r="52" spans="1:14" s="1" customFormat="1" x14ac:dyDescent="0.25">
      <c r="A52" s="8" t="s">
        <v>248</v>
      </c>
      <c r="B52" s="8" t="s">
        <v>249</v>
      </c>
      <c r="C52" s="8" t="s">
        <v>286</v>
      </c>
      <c r="D52" s="8" t="s">
        <v>286</v>
      </c>
      <c r="E52" s="8" t="s">
        <v>287</v>
      </c>
      <c r="F52" s="8" t="s">
        <v>288</v>
      </c>
      <c r="G52" s="8" t="s">
        <v>289</v>
      </c>
      <c r="H52" s="8" t="s">
        <v>254</v>
      </c>
      <c r="I52" s="8" t="s">
        <v>254</v>
      </c>
      <c r="J52" s="8" t="s">
        <v>289</v>
      </c>
      <c r="K52" s="8" t="s">
        <v>290</v>
      </c>
      <c r="L52" s="8" t="s">
        <v>51</v>
      </c>
      <c r="M52" s="8" t="s">
        <v>104</v>
      </c>
      <c r="N52" s="8" t="s">
        <v>291</v>
      </c>
    </row>
    <row r="53" spans="1:14" s="1" customFormat="1" x14ac:dyDescent="0.25">
      <c r="A53" s="8" t="s">
        <v>248</v>
      </c>
      <c r="B53" s="8" t="s">
        <v>249</v>
      </c>
      <c r="C53" s="8" t="s">
        <v>292</v>
      </c>
      <c r="D53" s="8" t="s">
        <v>292</v>
      </c>
      <c r="E53" s="8" t="s">
        <v>293</v>
      </c>
      <c r="F53" s="8" t="s">
        <v>288</v>
      </c>
      <c r="G53" s="8" t="s">
        <v>294</v>
      </c>
      <c r="H53" s="8" t="s">
        <v>254</v>
      </c>
      <c r="I53" s="8" t="s">
        <v>254</v>
      </c>
      <c r="J53" s="8" t="s">
        <v>294</v>
      </c>
      <c r="K53" s="8" t="s">
        <v>290</v>
      </c>
      <c r="L53" s="8" t="s">
        <v>295</v>
      </c>
      <c r="M53" s="8" t="s">
        <v>149</v>
      </c>
      <c r="N53" s="8"/>
    </row>
    <row r="54" spans="1:14" s="1" customFormat="1" x14ac:dyDescent="0.25">
      <c r="A54" s="8" t="s">
        <v>248</v>
      </c>
      <c r="B54" s="8" t="s">
        <v>249</v>
      </c>
      <c r="C54" s="8" t="s">
        <v>296</v>
      </c>
      <c r="D54" s="8" t="s">
        <v>296</v>
      </c>
      <c r="E54" s="8" t="s">
        <v>297</v>
      </c>
      <c r="F54" s="8" t="s">
        <v>288</v>
      </c>
      <c r="G54" s="8" t="s">
        <v>298</v>
      </c>
      <c r="H54" s="8" t="s">
        <v>254</v>
      </c>
      <c r="I54" s="8" t="s">
        <v>254</v>
      </c>
      <c r="J54" s="8" t="s">
        <v>299</v>
      </c>
      <c r="K54" s="8" t="s">
        <v>300</v>
      </c>
      <c r="L54" s="8" t="s">
        <v>51</v>
      </c>
      <c r="M54" s="8" t="s">
        <v>104</v>
      </c>
      <c r="N54" s="8" t="s">
        <v>301</v>
      </c>
    </row>
    <row r="55" spans="1:14" s="1" customFormat="1" x14ac:dyDescent="0.25">
      <c r="A55" s="8" t="s">
        <v>248</v>
      </c>
      <c r="B55" s="8" t="s">
        <v>249</v>
      </c>
      <c r="C55" s="8" t="s">
        <v>302</v>
      </c>
      <c r="D55" s="8" t="s">
        <v>302</v>
      </c>
      <c r="E55" s="8" t="s">
        <v>303</v>
      </c>
      <c r="F55" s="8" t="s">
        <v>288</v>
      </c>
      <c r="G55" s="8" t="s">
        <v>304</v>
      </c>
      <c r="H55" s="8" t="s">
        <v>254</v>
      </c>
      <c r="I55" s="8" t="s">
        <v>254</v>
      </c>
      <c r="J55" s="8" t="s">
        <v>304</v>
      </c>
      <c r="K55" s="8" t="s">
        <v>305</v>
      </c>
      <c r="L55" s="8" t="s">
        <v>51</v>
      </c>
      <c r="M55" s="8" t="s">
        <v>149</v>
      </c>
      <c r="N55" s="8"/>
    </row>
    <row r="56" spans="1:14" s="1" customFormat="1" x14ac:dyDescent="0.25">
      <c r="A56" s="8" t="s">
        <v>248</v>
      </c>
      <c r="B56" s="8" t="s">
        <v>249</v>
      </c>
      <c r="C56" s="8" t="s">
        <v>306</v>
      </c>
      <c r="D56" s="8" t="s">
        <v>306</v>
      </c>
      <c r="E56" s="8" t="s">
        <v>307</v>
      </c>
      <c r="F56" s="8" t="s">
        <v>288</v>
      </c>
      <c r="G56" s="8" t="s">
        <v>272</v>
      </c>
      <c r="H56" s="8" t="s">
        <v>254</v>
      </c>
      <c r="I56" s="8" t="s">
        <v>254</v>
      </c>
      <c r="J56" s="8" t="s">
        <v>272</v>
      </c>
      <c r="K56" s="8" t="s">
        <v>308</v>
      </c>
      <c r="L56" s="8" t="s">
        <v>51</v>
      </c>
      <c r="M56" s="8" t="s">
        <v>119</v>
      </c>
      <c r="N56" s="8" t="s">
        <v>309</v>
      </c>
    </row>
    <row r="57" spans="1:14" s="1" customFormat="1" x14ac:dyDescent="0.25">
      <c r="A57" s="8" t="s">
        <v>248</v>
      </c>
      <c r="B57" s="8" t="s">
        <v>249</v>
      </c>
      <c r="C57" s="8" t="s">
        <v>310</v>
      </c>
      <c r="D57" s="8" t="s">
        <v>311</v>
      </c>
      <c r="E57" s="8" t="s">
        <v>312</v>
      </c>
      <c r="F57" s="8" t="s">
        <v>164</v>
      </c>
      <c r="G57" s="8" t="s">
        <v>313</v>
      </c>
      <c r="H57" s="8" t="s">
        <v>254</v>
      </c>
      <c r="I57" s="8" t="s">
        <v>68</v>
      </c>
      <c r="J57" s="8" t="s">
        <v>313</v>
      </c>
      <c r="K57" s="8" t="s">
        <v>314</v>
      </c>
      <c r="L57" s="8" t="s">
        <v>51</v>
      </c>
      <c r="M57" s="8" t="s">
        <v>104</v>
      </c>
      <c r="N57" s="8" t="s">
        <v>315</v>
      </c>
    </row>
    <row r="58" spans="1:14" s="1" customFormat="1" x14ac:dyDescent="0.25">
      <c r="A58" s="8" t="s">
        <v>248</v>
      </c>
      <c r="B58" s="8" t="s">
        <v>249</v>
      </c>
      <c r="C58" s="8" t="s">
        <v>316</v>
      </c>
      <c r="D58" s="8" t="s">
        <v>316</v>
      </c>
      <c r="E58" s="8" t="s">
        <v>317</v>
      </c>
      <c r="F58" s="8" t="s">
        <v>100</v>
      </c>
      <c r="G58" s="8" t="s">
        <v>318</v>
      </c>
      <c r="H58" s="8" t="s">
        <v>254</v>
      </c>
      <c r="I58" s="8" t="s">
        <v>254</v>
      </c>
      <c r="J58" s="8" t="s">
        <v>319</v>
      </c>
      <c r="K58" s="8" t="s">
        <v>320</v>
      </c>
      <c r="L58" s="8" t="s">
        <v>51</v>
      </c>
      <c r="M58" s="8" t="s">
        <v>149</v>
      </c>
      <c r="N58" s="8"/>
    </row>
    <row r="59" spans="1:14" s="1" customFormat="1" x14ac:dyDescent="0.25">
      <c r="A59" s="8" t="s">
        <v>248</v>
      </c>
      <c r="B59" s="8" t="s">
        <v>249</v>
      </c>
      <c r="C59" s="8" t="s">
        <v>321</v>
      </c>
      <c r="D59" s="8" t="s">
        <v>321</v>
      </c>
      <c r="E59" s="8" t="s">
        <v>322</v>
      </c>
      <c r="F59" s="8" t="s">
        <v>187</v>
      </c>
      <c r="G59" s="8" t="s">
        <v>323</v>
      </c>
      <c r="H59" s="8" t="s">
        <v>254</v>
      </c>
      <c r="I59" s="8" t="s">
        <v>324</v>
      </c>
      <c r="J59" s="8" t="s">
        <v>323</v>
      </c>
      <c r="K59" s="8" t="s">
        <v>190</v>
      </c>
      <c r="L59" s="8" t="s">
        <v>51</v>
      </c>
      <c r="M59" s="8" t="s">
        <v>119</v>
      </c>
      <c r="N59" s="8" t="s">
        <v>325</v>
      </c>
    </row>
    <row r="60" spans="1:14" s="1" customFormat="1" x14ac:dyDescent="0.25">
      <c r="A60" s="8" t="s">
        <v>248</v>
      </c>
      <c r="B60" s="8" t="s">
        <v>249</v>
      </c>
      <c r="C60" s="8" t="s">
        <v>326</v>
      </c>
      <c r="D60" s="8" t="s">
        <v>326</v>
      </c>
      <c r="E60" s="8" t="s">
        <v>327</v>
      </c>
      <c r="F60" s="8" t="s">
        <v>187</v>
      </c>
      <c r="G60" s="8" t="s">
        <v>328</v>
      </c>
      <c r="H60" s="8" t="s">
        <v>254</v>
      </c>
      <c r="I60" s="8" t="s">
        <v>324</v>
      </c>
      <c r="J60" s="8" t="s">
        <v>328</v>
      </c>
      <c r="K60" s="8" t="s">
        <v>190</v>
      </c>
      <c r="L60" s="8" t="s">
        <v>51</v>
      </c>
      <c r="M60" s="8" t="s">
        <v>119</v>
      </c>
      <c r="N60" s="8" t="s">
        <v>329</v>
      </c>
    </row>
    <row r="61" spans="1:14" s="1" customFormat="1" x14ac:dyDescent="0.25">
      <c r="A61" s="8" t="s">
        <v>248</v>
      </c>
      <c r="B61" s="8" t="s">
        <v>249</v>
      </c>
      <c r="C61" s="8" t="s">
        <v>330</v>
      </c>
      <c r="D61" s="8" t="s">
        <v>330</v>
      </c>
      <c r="E61" s="8" t="s">
        <v>331</v>
      </c>
      <c r="F61" s="8" t="s">
        <v>187</v>
      </c>
      <c r="G61" s="8" t="s">
        <v>324</v>
      </c>
      <c r="H61" s="8" t="s">
        <v>254</v>
      </c>
      <c r="I61" s="8" t="s">
        <v>324</v>
      </c>
      <c r="J61" s="8" t="s">
        <v>324</v>
      </c>
      <c r="K61" s="8" t="s">
        <v>190</v>
      </c>
      <c r="L61" s="8" t="s">
        <v>51</v>
      </c>
      <c r="M61" s="8" t="s">
        <v>119</v>
      </c>
      <c r="N61" s="8" t="s">
        <v>332</v>
      </c>
    </row>
    <row r="62" spans="1:14" s="1" customFormat="1" x14ac:dyDescent="0.25">
      <c r="A62" s="8" t="s">
        <v>248</v>
      </c>
      <c r="B62" s="8" t="s">
        <v>249</v>
      </c>
      <c r="C62" s="8" t="s">
        <v>333</v>
      </c>
      <c r="D62" s="8" t="s">
        <v>333</v>
      </c>
      <c r="E62" s="8" t="s">
        <v>334</v>
      </c>
      <c r="F62" s="8" t="s">
        <v>187</v>
      </c>
      <c r="G62" s="8" t="s">
        <v>335</v>
      </c>
      <c r="H62" s="8" t="s">
        <v>254</v>
      </c>
      <c r="I62" s="8" t="s">
        <v>324</v>
      </c>
      <c r="J62" s="8" t="s">
        <v>335</v>
      </c>
      <c r="K62" s="8" t="s">
        <v>190</v>
      </c>
      <c r="L62" s="8" t="s">
        <v>51</v>
      </c>
      <c r="M62" s="8" t="s">
        <v>119</v>
      </c>
      <c r="N62" s="8" t="s">
        <v>336</v>
      </c>
    </row>
    <row r="63" spans="1:14" s="1" customFormat="1" x14ac:dyDescent="0.25">
      <c r="A63" s="8" t="s">
        <v>248</v>
      </c>
      <c r="B63" s="8" t="s">
        <v>249</v>
      </c>
      <c r="C63" s="8" t="s">
        <v>337</v>
      </c>
      <c r="D63" s="8" t="s">
        <v>337</v>
      </c>
      <c r="E63" s="8" t="s">
        <v>338</v>
      </c>
      <c r="F63" s="8" t="s">
        <v>187</v>
      </c>
      <c r="G63" s="8" t="s">
        <v>339</v>
      </c>
      <c r="H63" s="8" t="s">
        <v>254</v>
      </c>
      <c r="I63" s="8" t="s">
        <v>266</v>
      </c>
      <c r="J63" s="8" t="s">
        <v>340</v>
      </c>
      <c r="K63" s="8" t="s">
        <v>190</v>
      </c>
      <c r="L63" s="8" t="s">
        <v>51</v>
      </c>
      <c r="M63" s="8" t="s">
        <v>119</v>
      </c>
      <c r="N63" s="8" t="s">
        <v>341</v>
      </c>
    </row>
    <row r="64" spans="1:14" s="1" customFormat="1" x14ac:dyDescent="0.25">
      <c r="A64" s="8" t="s">
        <v>248</v>
      </c>
      <c r="B64" s="8" t="s">
        <v>249</v>
      </c>
      <c r="C64" s="8" t="s">
        <v>342</v>
      </c>
      <c r="D64" s="8" t="s">
        <v>342</v>
      </c>
      <c r="E64" s="8" t="s">
        <v>343</v>
      </c>
      <c r="F64" s="8" t="s">
        <v>187</v>
      </c>
      <c r="G64" s="8" t="s">
        <v>344</v>
      </c>
      <c r="H64" s="8" t="s">
        <v>254</v>
      </c>
      <c r="I64" s="8" t="s">
        <v>345</v>
      </c>
      <c r="J64" s="8" t="s">
        <v>344</v>
      </c>
      <c r="K64" s="8" t="s">
        <v>190</v>
      </c>
      <c r="L64" s="8" t="s">
        <v>51</v>
      </c>
      <c r="M64" s="8" t="s">
        <v>119</v>
      </c>
      <c r="N64" s="8" t="s">
        <v>315</v>
      </c>
    </row>
    <row r="65" spans="1:14" s="1" customFormat="1" x14ac:dyDescent="0.25">
      <c r="A65" s="8" t="s">
        <v>248</v>
      </c>
      <c r="B65" s="8" t="s">
        <v>249</v>
      </c>
      <c r="C65" s="8" t="s">
        <v>346</v>
      </c>
      <c r="D65" s="8" t="s">
        <v>346</v>
      </c>
      <c r="E65" s="8" t="s">
        <v>347</v>
      </c>
      <c r="F65" s="8" t="s">
        <v>187</v>
      </c>
      <c r="G65" s="8" t="s">
        <v>348</v>
      </c>
      <c r="H65" s="8" t="s">
        <v>254</v>
      </c>
      <c r="I65" s="8" t="s">
        <v>254</v>
      </c>
      <c r="J65" s="8" t="s">
        <v>294</v>
      </c>
      <c r="K65" s="8" t="s">
        <v>190</v>
      </c>
      <c r="L65" s="8" t="s">
        <v>349</v>
      </c>
      <c r="M65" s="8" t="s">
        <v>119</v>
      </c>
      <c r="N65" s="8" t="s">
        <v>291</v>
      </c>
    </row>
    <row r="66" spans="1:14" s="1" customFormat="1" x14ac:dyDescent="0.25">
      <c r="A66" s="8" t="s">
        <v>248</v>
      </c>
      <c r="B66" s="8" t="s">
        <v>249</v>
      </c>
      <c r="C66" s="8" t="s">
        <v>350</v>
      </c>
      <c r="D66" s="8" t="s">
        <v>350</v>
      </c>
      <c r="E66" s="8" t="s">
        <v>351</v>
      </c>
      <c r="F66" s="8" t="s">
        <v>187</v>
      </c>
      <c r="G66" s="8" t="s">
        <v>352</v>
      </c>
      <c r="H66" s="8" t="s">
        <v>254</v>
      </c>
      <c r="I66" s="8" t="s">
        <v>68</v>
      </c>
      <c r="J66" s="8" t="s">
        <v>353</v>
      </c>
      <c r="K66" s="8" t="s">
        <v>190</v>
      </c>
      <c r="L66" s="8" t="s">
        <v>51</v>
      </c>
      <c r="M66" s="8" t="s">
        <v>119</v>
      </c>
      <c r="N66" s="8" t="s">
        <v>315</v>
      </c>
    </row>
    <row r="67" spans="1:14" s="1" customFormat="1" x14ac:dyDescent="0.25">
      <c r="A67" s="8" t="s">
        <v>248</v>
      </c>
      <c r="B67" s="8" t="s">
        <v>249</v>
      </c>
      <c r="C67" s="8" t="s">
        <v>354</v>
      </c>
      <c r="D67" s="8" t="s">
        <v>354</v>
      </c>
      <c r="E67" s="8" t="s">
        <v>355</v>
      </c>
      <c r="F67" s="8" t="s">
        <v>187</v>
      </c>
      <c r="G67" s="8" t="s">
        <v>356</v>
      </c>
      <c r="H67" s="8" t="s">
        <v>254</v>
      </c>
      <c r="I67" s="8" t="s">
        <v>357</v>
      </c>
      <c r="J67" s="8" t="s">
        <v>356</v>
      </c>
      <c r="K67" s="8" t="s">
        <v>190</v>
      </c>
      <c r="L67" s="8" t="s">
        <v>51</v>
      </c>
      <c r="M67" s="8" t="s">
        <v>119</v>
      </c>
      <c r="N67" s="8" t="s">
        <v>315</v>
      </c>
    </row>
    <row r="68" spans="1:14" s="1" customFormat="1" x14ac:dyDescent="0.25">
      <c r="A68" s="8" t="s">
        <v>248</v>
      </c>
      <c r="B68" s="8" t="s">
        <v>249</v>
      </c>
      <c r="C68" s="8" t="s">
        <v>358</v>
      </c>
      <c r="D68" s="8" t="s">
        <v>358</v>
      </c>
      <c r="E68" s="8" t="s">
        <v>359</v>
      </c>
      <c r="F68" s="8" t="s">
        <v>187</v>
      </c>
      <c r="G68" s="8" t="s">
        <v>360</v>
      </c>
      <c r="H68" s="8" t="s">
        <v>254</v>
      </c>
      <c r="I68" s="8" t="s">
        <v>254</v>
      </c>
      <c r="J68" s="8" t="s">
        <v>360</v>
      </c>
      <c r="K68" s="8" t="s">
        <v>190</v>
      </c>
      <c r="L68" s="8" t="s">
        <v>51</v>
      </c>
      <c r="M68" s="8" t="s">
        <v>119</v>
      </c>
      <c r="N68" s="8" t="s">
        <v>361</v>
      </c>
    </row>
    <row r="69" spans="1:14" s="1" customFormat="1" x14ac:dyDescent="0.25">
      <c r="A69" s="8" t="s">
        <v>248</v>
      </c>
      <c r="B69" s="8" t="s">
        <v>249</v>
      </c>
      <c r="C69" s="8" t="s">
        <v>362</v>
      </c>
      <c r="D69" s="8" t="s">
        <v>362</v>
      </c>
      <c r="E69" s="8" t="s">
        <v>363</v>
      </c>
      <c r="F69" s="8" t="s">
        <v>187</v>
      </c>
      <c r="G69" s="8" t="s">
        <v>364</v>
      </c>
      <c r="H69" s="8" t="s">
        <v>254</v>
      </c>
      <c r="I69" s="8" t="s">
        <v>266</v>
      </c>
      <c r="J69" s="8" t="s">
        <v>266</v>
      </c>
      <c r="K69" s="8" t="s">
        <v>190</v>
      </c>
      <c r="L69" s="8" t="s">
        <v>51</v>
      </c>
      <c r="M69" s="8" t="s">
        <v>119</v>
      </c>
      <c r="N69" s="8" t="s">
        <v>365</v>
      </c>
    </row>
    <row r="70" spans="1:14" s="1" customFormat="1" x14ac:dyDescent="0.25">
      <c r="A70" s="8" t="s">
        <v>248</v>
      </c>
      <c r="B70" s="8" t="s">
        <v>249</v>
      </c>
      <c r="C70" s="8" t="s">
        <v>366</v>
      </c>
      <c r="D70" s="8" t="s">
        <v>366</v>
      </c>
      <c r="E70" s="8" t="s">
        <v>367</v>
      </c>
      <c r="F70" s="8" t="s">
        <v>187</v>
      </c>
      <c r="G70" s="8" t="s">
        <v>368</v>
      </c>
      <c r="H70" s="8" t="s">
        <v>254</v>
      </c>
      <c r="I70" s="8" t="s">
        <v>254</v>
      </c>
      <c r="J70" s="8" t="s">
        <v>368</v>
      </c>
      <c r="K70" s="8" t="s">
        <v>190</v>
      </c>
      <c r="L70" s="8" t="s">
        <v>51</v>
      </c>
      <c r="M70" s="8" t="s">
        <v>119</v>
      </c>
      <c r="N70" s="8" t="s">
        <v>369</v>
      </c>
    </row>
    <row r="71" spans="1:14" s="1" customFormat="1" x14ac:dyDescent="0.25">
      <c r="A71" s="8" t="s">
        <v>248</v>
      </c>
      <c r="B71" s="8" t="s">
        <v>249</v>
      </c>
      <c r="C71" s="8" t="s">
        <v>370</v>
      </c>
      <c r="D71" s="8" t="s">
        <v>370</v>
      </c>
      <c r="E71" s="8" t="s">
        <v>371</v>
      </c>
      <c r="F71" s="8" t="s">
        <v>187</v>
      </c>
      <c r="G71" s="8" t="s">
        <v>372</v>
      </c>
      <c r="H71" s="8" t="s">
        <v>254</v>
      </c>
      <c r="I71" s="8" t="s">
        <v>254</v>
      </c>
      <c r="J71" s="8" t="s">
        <v>373</v>
      </c>
      <c r="K71" s="8" t="s">
        <v>190</v>
      </c>
      <c r="L71" s="8" t="s">
        <v>51</v>
      </c>
      <c r="M71" s="8" t="s">
        <v>119</v>
      </c>
      <c r="N71" s="8" t="s">
        <v>374</v>
      </c>
    </row>
    <row r="72" spans="1:14" s="1" customFormat="1" x14ac:dyDescent="0.25">
      <c r="A72" s="8" t="s">
        <v>248</v>
      </c>
      <c r="B72" s="8" t="s">
        <v>249</v>
      </c>
      <c r="C72" s="8" t="s">
        <v>375</v>
      </c>
      <c r="D72" s="8" t="s">
        <v>375</v>
      </c>
      <c r="E72" s="8" t="s">
        <v>376</v>
      </c>
      <c r="F72" s="8" t="s">
        <v>116</v>
      </c>
      <c r="G72" s="8" t="s">
        <v>377</v>
      </c>
      <c r="H72" s="8" t="s">
        <v>254</v>
      </c>
      <c r="I72" s="8" t="s">
        <v>378</v>
      </c>
      <c r="J72" s="8" t="s">
        <v>379</v>
      </c>
      <c r="K72" s="8" t="s">
        <v>380</v>
      </c>
      <c r="L72" s="8" t="s">
        <v>51</v>
      </c>
      <c r="M72" s="8" t="s">
        <v>119</v>
      </c>
      <c r="N72" s="8" t="s">
        <v>381</v>
      </c>
    </row>
    <row r="73" spans="1:14" s="1" customFormat="1" x14ac:dyDescent="0.25">
      <c r="A73" s="8" t="s">
        <v>248</v>
      </c>
      <c r="B73" s="8" t="s">
        <v>249</v>
      </c>
      <c r="C73" s="8" t="s">
        <v>382</v>
      </c>
      <c r="D73" s="8" t="s">
        <v>382</v>
      </c>
      <c r="E73" s="8" t="s">
        <v>383</v>
      </c>
      <c r="F73" s="8" t="s">
        <v>116</v>
      </c>
      <c r="G73" s="8" t="s">
        <v>384</v>
      </c>
      <c r="H73" s="8" t="s">
        <v>254</v>
      </c>
      <c r="I73" s="8" t="s">
        <v>385</v>
      </c>
      <c r="J73" s="8" t="s">
        <v>384</v>
      </c>
      <c r="K73" s="8" t="s">
        <v>380</v>
      </c>
      <c r="L73" s="8" t="s">
        <v>51</v>
      </c>
      <c r="M73" s="8" t="s">
        <v>119</v>
      </c>
      <c r="N73" s="8" t="s">
        <v>386</v>
      </c>
    </row>
    <row r="74" spans="1:14" s="1" customFormat="1" x14ac:dyDescent="0.25">
      <c r="A74" s="8" t="s">
        <v>248</v>
      </c>
      <c r="B74" s="8" t="s">
        <v>249</v>
      </c>
      <c r="C74" s="8" t="s">
        <v>387</v>
      </c>
      <c r="D74" s="8" t="s">
        <v>387</v>
      </c>
      <c r="E74" s="8" t="s">
        <v>388</v>
      </c>
      <c r="F74" s="8" t="s">
        <v>116</v>
      </c>
      <c r="G74" s="8" t="s">
        <v>389</v>
      </c>
      <c r="H74" s="8" t="s">
        <v>254</v>
      </c>
      <c r="I74" s="8" t="s">
        <v>254</v>
      </c>
      <c r="J74" s="8" t="s">
        <v>389</v>
      </c>
      <c r="K74" s="8" t="s">
        <v>390</v>
      </c>
      <c r="L74" s="8" t="s">
        <v>51</v>
      </c>
      <c r="M74" s="8" t="s">
        <v>119</v>
      </c>
      <c r="N74" s="8" t="s">
        <v>291</v>
      </c>
    </row>
    <row r="75" spans="1:14" s="1" customFormat="1" x14ac:dyDescent="0.25">
      <c r="A75" s="8" t="s">
        <v>391</v>
      </c>
      <c r="B75" s="8" t="s">
        <v>73</v>
      </c>
      <c r="C75" s="8" t="s">
        <v>392</v>
      </c>
      <c r="D75" s="8" t="s">
        <v>392</v>
      </c>
      <c r="E75" s="8" t="s">
        <v>393</v>
      </c>
      <c r="F75" s="8" t="s">
        <v>206</v>
      </c>
      <c r="G75" s="8" t="s">
        <v>394</v>
      </c>
      <c r="H75" s="8" t="s">
        <v>395</v>
      </c>
      <c r="I75" s="8" t="s">
        <v>396</v>
      </c>
      <c r="J75" s="8" t="s">
        <v>397</v>
      </c>
      <c r="K75" s="8" t="s">
        <v>398</v>
      </c>
      <c r="L75" s="8" t="s">
        <v>51</v>
      </c>
      <c r="M75" s="8" t="s">
        <v>82</v>
      </c>
      <c r="N75" s="8" t="s">
        <v>399</v>
      </c>
    </row>
    <row r="76" spans="1:14" s="1" customFormat="1" x14ac:dyDescent="0.25">
      <c r="A76" s="8" t="s">
        <v>391</v>
      </c>
      <c r="B76" s="8" t="s">
        <v>73</v>
      </c>
      <c r="C76" s="8" t="s">
        <v>400</v>
      </c>
      <c r="D76" s="8" t="s">
        <v>400</v>
      </c>
      <c r="E76" s="8" t="s">
        <v>401</v>
      </c>
      <c r="F76" s="8" t="s">
        <v>288</v>
      </c>
      <c r="G76" s="8" t="s">
        <v>283</v>
      </c>
      <c r="H76" s="8" t="s">
        <v>395</v>
      </c>
      <c r="I76" s="8" t="s">
        <v>396</v>
      </c>
      <c r="J76" s="8" t="s">
        <v>395</v>
      </c>
      <c r="K76" s="8" t="s">
        <v>402</v>
      </c>
      <c r="L76" s="8" t="s">
        <v>51</v>
      </c>
      <c r="M76" s="8" t="s">
        <v>104</v>
      </c>
      <c r="N76" s="8" t="s">
        <v>403</v>
      </c>
    </row>
    <row r="77" spans="1:14" s="1" customFormat="1" x14ac:dyDescent="0.25">
      <c r="A77" s="8" t="s">
        <v>391</v>
      </c>
      <c r="B77" s="8" t="s">
        <v>73</v>
      </c>
      <c r="C77" s="8" t="s">
        <v>404</v>
      </c>
      <c r="D77" s="8" t="s">
        <v>404</v>
      </c>
      <c r="E77" s="8" t="s">
        <v>405</v>
      </c>
      <c r="F77" s="8" t="s">
        <v>100</v>
      </c>
      <c r="G77" s="8" t="s">
        <v>406</v>
      </c>
      <c r="H77" s="8" t="s">
        <v>395</v>
      </c>
      <c r="I77" s="8" t="s">
        <v>406</v>
      </c>
      <c r="J77" s="8" t="s">
        <v>406</v>
      </c>
      <c r="K77" s="8" t="s">
        <v>407</v>
      </c>
      <c r="L77" s="8" t="s">
        <v>51</v>
      </c>
      <c r="M77" s="8" t="s">
        <v>104</v>
      </c>
      <c r="N77" s="8" t="s">
        <v>408</v>
      </c>
    </row>
    <row r="78" spans="1:14" s="1" customFormat="1" x14ac:dyDescent="0.25">
      <c r="A78" s="8" t="s">
        <v>391</v>
      </c>
      <c r="B78" s="8" t="s">
        <v>73</v>
      </c>
      <c r="C78" s="8" t="s">
        <v>409</v>
      </c>
      <c r="D78" s="8" t="s">
        <v>409</v>
      </c>
      <c r="E78" s="8" t="s">
        <v>410</v>
      </c>
      <c r="F78" s="8" t="s">
        <v>187</v>
      </c>
      <c r="G78" s="8" t="s">
        <v>411</v>
      </c>
      <c r="H78" s="8" t="s">
        <v>395</v>
      </c>
      <c r="I78" s="8" t="s">
        <v>411</v>
      </c>
      <c r="J78" s="8" t="s">
        <v>411</v>
      </c>
      <c r="K78" s="8" t="s">
        <v>190</v>
      </c>
      <c r="L78" s="8" t="s">
        <v>51</v>
      </c>
      <c r="M78" s="8" t="s">
        <v>119</v>
      </c>
      <c r="N78" s="8" t="s">
        <v>412</v>
      </c>
    </row>
    <row r="79" spans="1:14" s="1" customFormat="1" x14ac:dyDescent="0.25">
      <c r="A79" s="8" t="s">
        <v>391</v>
      </c>
      <c r="B79" s="8" t="s">
        <v>73</v>
      </c>
      <c r="C79" s="8" t="s">
        <v>413</v>
      </c>
      <c r="D79" s="8" t="s">
        <v>413</v>
      </c>
      <c r="E79" s="8" t="s">
        <v>414</v>
      </c>
      <c r="F79" s="8" t="s">
        <v>187</v>
      </c>
      <c r="G79" s="8" t="s">
        <v>415</v>
      </c>
      <c r="H79" s="8" t="s">
        <v>395</v>
      </c>
      <c r="I79" s="8" t="s">
        <v>416</v>
      </c>
      <c r="J79" s="8" t="s">
        <v>415</v>
      </c>
      <c r="K79" s="8" t="s">
        <v>417</v>
      </c>
      <c r="L79" s="8" t="s">
        <v>51</v>
      </c>
      <c r="M79" s="8" t="s">
        <v>119</v>
      </c>
      <c r="N79" s="8" t="s">
        <v>412</v>
      </c>
    </row>
    <row r="80" spans="1:14" s="1" customFormat="1" x14ac:dyDescent="0.25">
      <c r="A80" s="8" t="s">
        <v>391</v>
      </c>
      <c r="B80" s="8" t="s">
        <v>73</v>
      </c>
      <c r="C80" s="8" t="s">
        <v>418</v>
      </c>
      <c r="D80" s="8" t="s">
        <v>418</v>
      </c>
      <c r="E80" s="8" t="s">
        <v>419</v>
      </c>
      <c r="F80" s="8" t="s">
        <v>187</v>
      </c>
      <c r="G80" s="8" t="s">
        <v>420</v>
      </c>
      <c r="H80" s="8" t="s">
        <v>395</v>
      </c>
      <c r="I80" s="8" t="s">
        <v>421</v>
      </c>
      <c r="J80" s="8" t="s">
        <v>420</v>
      </c>
      <c r="K80" s="8" t="s">
        <v>422</v>
      </c>
      <c r="L80" s="8" t="s">
        <v>51</v>
      </c>
      <c r="M80" s="8" t="s">
        <v>119</v>
      </c>
      <c r="N80" s="8" t="s">
        <v>412</v>
      </c>
    </row>
    <row r="81" spans="1:14" s="1" customFormat="1" x14ac:dyDescent="0.25">
      <c r="A81" s="8" t="s">
        <v>391</v>
      </c>
      <c r="B81" s="8" t="s">
        <v>73</v>
      </c>
      <c r="C81" s="8" t="s">
        <v>423</v>
      </c>
      <c r="D81" s="8" t="s">
        <v>423</v>
      </c>
      <c r="E81" s="8" t="s">
        <v>424</v>
      </c>
      <c r="F81" s="8" t="s">
        <v>187</v>
      </c>
      <c r="G81" s="8" t="s">
        <v>425</v>
      </c>
      <c r="H81" s="8" t="s">
        <v>395</v>
      </c>
      <c r="I81" s="8" t="s">
        <v>426</v>
      </c>
      <c r="J81" s="8" t="s">
        <v>427</v>
      </c>
      <c r="K81" s="8" t="s">
        <v>190</v>
      </c>
      <c r="L81" s="8" t="s">
        <v>51</v>
      </c>
      <c r="M81" s="8" t="s">
        <v>119</v>
      </c>
      <c r="N81" s="8" t="s">
        <v>412</v>
      </c>
    </row>
    <row r="82" spans="1:14" s="1" customFormat="1" x14ac:dyDescent="0.25">
      <c r="A82" s="8" t="s">
        <v>391</v>
      </c>
      <c r="B82" s="8" t="s">
        <v>73</v>
      </c>
      <c r="C82" s="8" t="s">
        <v>428</v>
      </c>
      <c r="D82" s="8" t="s">
        <v>428</v>
      </c>
      <c r="E82" s="8" t="s">
        <v>429</v>
      </c>
      <c r="F82" s="8" t="s">
        <v>187</v>
      </c>
      <c r="G82" s="8" t="s">
        <v>430</v>
      </c>
      <c r="H82" s="8" t="s">
        <v>395</v>
      </c>
      <c r="I82" s="8" t="s">
        <v>426</v>
      </c>
      <c r="J82" s="8" t="s">
        <v>430</v>
      </c>
      <c r="K82" s="8" t="s">
        <v>190</v>
      </c>
      <c r="L82" s="8" t="s">
        <v>51</v>
      </c>
      <c r="M82" s="8" t="s">
        <v>119</v>
      </c>
      <c r="N82" s="8" t="s">
        <v>412</v>
      </c>
    </row>
    <row r="83" spans="1:14" s="1" customFormat="1" x14ac:dyDescent="0.25">
      <c r="A83" s="8" t="s">
        <v>391</v>
      </c>
      <c r="B83" s="8" t="s">
        <v>73</v>
      </c>
      <c r="C83" s="8" t="s">
        <v>431</v>
      </c>
      <c r="D83" s="8" t="s">
        <v>431</v>
      </c>
      <c r="E83" s="8" t="s">
        <v>432</v>
      </c>
      <c r="F83" s="8" t="s">
        <v>187</v>
      </c>
      <c r="G83" s="8" t="s">
        <v>433</v>
      </c>
      <c r="H83" s="8" t="s">
        <v>395</v>
      </c>
      <c r="I83" s="8" t="s">
        <v>433</v>
      </c>
      <c r="J83" s="8" t="s">
        <v>433</v>
      </c>
      <c r="K83" s="8" t="s">
        <v>190</v>
      </c>
      <c r="L83" s="8" t="s">
        <v>51</v>
      </c>
      <c r="M83" s="8" t="s">
        <v>119</v>
      </c>
      <c r="N83" s="8" t="s">
        <v>412</v>
      </c>
    </row>
    <row r="84" spans="1:14" s="1" customFormat="1" x14ac:dyDescent="0.25">
      <c r="A84" s="8" t="s">
        <v>391</v>
      </c>
      <c r="B84" s="8" t="s">
        <v>73</v>
      </c>
      <c r="C84" s="8" t="s">
        <v>434</v>
      </c>
      <c r="D84" s="8" t="s">
        <v>44</v>
      </c>
      <c r="E84" s="8" t="s">
        <v>435</v>
      </c>
      <c r="F84" s="8" t="s">
        <v>116</v>
      </c>
      <c r="G84" s="8" t="s">
        <v>436</v>
      </c>
      <c r="H84" s="8" t="s">
        <v>395</v>
      </c>
      <c r="I84" s="8" t="s">
        <v>436</v>
      </c>
      <c r="J84" s="8" t="s">
        <v>437</v>
      </c>
      <c r="K84" s="8" t="s">
        <v>438</v>
      </c>
      <c r="L84" s="8" t="s">
        <v>51</v>
      </c>
      <c r="M84" s="8" t="s">
        <v>119</v>
      </c>
      <c r="N84" s="8" t="s">
        <v>412</v>
      </c>
    </row>
    <row r="85" spans="1:14" s="1" customFormat="1" x14ac:dyDescent="0.25">
      <c r="A85" s="8" t="s">
        <v>439</v>
      </c>
      <c r="B85" s="8" t="s">
        <v>73</v>
      </c>
      <c r="C85" s="8" t="s">
        <v>440</v>
      </c>
      <c r="D85" s="8" t="s">
        <v>440</v>
      </c>
      <c r="E85" s="8" t="s">
        <v>441</v>
      </c>
      <c r="F85" s="8" t="s">
        <v>206</v>
      </c>
      <c r="G85" s="8" t="s">
        <v>442</v>
      </c>
      <c r="H85" s="8" t="s">
        <v>442</v>
      </c>
      <c r="I85" s="8" t="s">
        <v>442</v>
      </c>
      <c r="J85" s="8" t="s">
        <v>442</v>
      </c>
      <c r="K85" s="8" t="s">
        <v>443</v>
      </c>
      <c r="L85" s="8" t="s">
        <v>51</v>
      </c>
      <c r="M85" s="8" t="s">
        <v>210</v>
      </c>
      <c r="N85" s="8" t="s">
        <v>444</v>
      </c>
    </row>
    <row r="86" spans="1:14" s="1" customFormat="1" x14ac:dyDescent="0.25">
      <c r="A86" s="8" t="s">
        <v>439</v>
      </c>
      <c r="B86" s="8" t="s">
        <v>73</v>
      </c>
      <c r="C86" s="8" t="s">
        <v>445</v>
      </c>
      <c r="D86" s="8" t="s">
        <v>445</v>
      </c>
      <c r="E86" s="8" t="s">
        <v>446</v>
      </c>
      <c r="F86" s="8" t="s">
        <v>164</v>
      </c>
      <c r="G86" s="8" t="s">
        <v>447</v>
      </c>
      <c r="H86" s="8" t="s">
        <v>442</v>
      </c>
      <c r="I86" s="8" t="s">
        <v>447</v>
      </c>
      <c r="J86" s="8" t="s">
        <v>447</v>
      </c>
      <c r="K86" s="8" t="s">
        <v>148</v>
      </c>
      <c r="L86" s="8" t="s">
        <v>51</v>
      </c>
      <c r="M86" s="8" t="s">
        <v>104</v>
      </c>
      <c r="N86" s="8" t="s">
        <v>448</v>
      </c>
    </row>
    <row r="87" spans="1:14" s="1" customFormat="1" x14ac:dyDescent="0.25">
      <c r="A87" s="8" t="s">
        <v>439</v>
      </c>
      <c r="B87" s="8" t="s">
        <v>73</v>
      </c>
      <c r="C87" s="8" t="s">
        <v>449</v>
      </c>
      <c r="D87" s="8" t="s">
        <v>449</v>
      </c>
      <c r="E87" s="8" t="s">
        <v>450</v>
      </c>
      <c r="F87" s="8" t="s">
        <v>164</v>
      </c>
      <c r="G87" s="8" t="s">
        <v>451</v>
      </c>
      <c r="H87" s="8" t="s">
        <v>442</v>
      </c>
      <c r="I87" s="8" t="s">
        <v>451</v>
      </c>
      <c r="J87" s="8" t="s">
        <v>451</v>
      </c>
      <c r="K87" s="8" t="s">
        <v>148</v>
      </c>
      <c r="L87" s="8" t="s">
        <v>51</v>
      </c>
      <c r="M87" s="8" t="s">
        <v>104</v>
      </c>
      <c r="N87" s="8" t="s">
        <v>448</v>
      </c>
    </row>
    <row r="88" spans="1:14" s="1" customFormat="1" x14ac:dyDescent="0.25">
      <c r="A88" s="8" t="s">
        <v>439</v>
      </c>
      <c r="B88" s="8" t="s">
        <v>73</v>
      </c>
      <c r="C88" s="8" t="s">
        <v>452</v>
      </c>
      <c r="D88" s="8" t="s">
        <v>452</v>
      </c>
      <c r="E88" s="8" t="s">
        <v>453</v>
      </c>
      <c r="F88" s="8" t="s">
        <v>100</v>
      </c>
      <c r="G88" s="8" t="s">
        <v>454</v>
      </c>
      <c r="H88" s="8" t="s">
        <v>442</v>
      </c>
      <c r="I88" s="8" t="s">
        <v>442</v>
      </c>
      <c r="J88" s="8" t="s">
        <v>455</v>
      </c>
      <c r="K88" s="8" t="s">
        <v>456</v>
      </c>
      <c r="L88" s="8" t="s">
        <v>51</v>
      </c>
      <c r="M88" s="8" t="s">
        <v>104</v>
      </c>
      <c r="N88" s="8" t="s">
        <v>448</v>
      </c>
    </row>
    <row r="89" spans="1:14" s="1" customFormat="1" x14ac:dyDescent="0.25">
      <c r="A89" s="8" t="s">
        <v>439</v>
      </c>
      <c r="B89" s="8" t="s">
        <v>73</v>
      </c>
      <c r="C89" s="8" t="s">
        <v>457</v>
      </c>
      <c r="D89" s="8" t="s">
        <v>457</v>
      </c>
      <c r="E89" s="8" t="s">
        <v>458</v>
      </c>
      <c r="F89" s="8" t="s">
        <v>187</v>
      </c>
      <c r="G89" s="8" t="s">
        <v>459</v>
      </c>
      <c r="H89" s="8" t="s">
        <v>442</v>
      </c>
      <c r="I89" s="8" t="s">
        <v>460</v>
      </c>
      <c r="J89" s="8" t="s">
        <v>459</v>
      </c>
      <c r="K89" s="8" t="s">
        <v>190</v>
      </c>
      <c r="L89" s="8" t="s">
        <v>51</v>
      </c>
      <c r="M89" s="8" t="s">
        <v>119</v>
      </c>
      <c r="N89" s="8" t="s">
        <v>461</v>
      </c>
    </row>
    <row r="90" spans="1:14" s="1" customFormat="1" x14ac:dyDescent="0.25">
      <c r="A90" s="8" t="s">
        <v>439</v>
      </c>
      <c r="B90" s="8" t="s">
        <v>73</v>
      </c>
      <c r="C90" s="8" t="s">
        <v>462</v>
      </c>
      <c r="D90" s="8" t="s">
        <v>463</v>
      </c>
      <c r="E90" s="8"/>
      <c r="F90" s="8" t="s">
        <v>187</v>
      </c>
      <c r="G90" s="8" t="s">
        <v>464</v>
      </c>
      <c r="H90" s="8" t="s">
        <v>465</v>
      </c>
      <c r="I90" s="8" t="s">
        <v>464</v>
      </c>
      <c r="J90" s="8" t="s">
        <v>464</v>
      </c>
      <c r="K90" s="8" t="s">
        <v>466</v>
      </c>
      <c r="L90" s="8" t="s">
        <v>51</v>
      </c>
      <c r="M90" s="8" t="s">
        <v>119</v>
      </c>
      <c r="N90" s="8" t="s">
        <v>467</v>
      </c>
    </row>
    <row r="91" spans="1:14" s="1" customFormat="1" x14ac:dyDescent="0.25">
      <c r="A91" s="8" t="s">
        <v>439</v>
      </c>
      <c r="B91" s="8" t="s">
        <v>73</v>
      </c>
      <c r="C91" s="8" t="s">
        <v>468</v>
      </c>
      <c r="D91" s="8" t="s">
        <v>468</v>
      </c>
      <c r="E91" s="8" t="s">
        <v>469</v>
      </c>
      <c r="F91" s="8" t="s">
        <v>187</v>
      </c>
      <c r="G91" s="8" t="s">
        <v>470</v>
      </c>
      <c r="H91" s="8" t="s">
        <v>442</v>
      </c>
      <c r="I91" s="8" t="s">
        <v>470</v>
      </c>
      <c r="J91" s="8" t="s">
        <v>470</v>
      </c>
      <c r="K91" s="8" t="s">
        <v>190</v>
      </c>
      <c r="L91" s="8" t="s">
        <v>51</v>
      </c>
      <c r="M91" s="8" t="s">
        <v>119</v>
      </c>
      <c r="N91" s="8" t="s">
        <v>448</v>
      </c>
    </row>
    <row r="92" spans="1:14" s="1" customFormat="1" x14ac:dyDescent="0.25">
      <c r="A92" s="8" t="s">
        <v>439</v>
      </c>
      <c r="B92" s="8" t="s">
        <v>73</v>
      </c>
      <c r="C92" s="8" t="s">
        <v>471</v>
      </c>
      <c r="D92" s="8" t="s">
        <v>471</v>
      </c>
      <c r="E92" s="8" t="s">
        <v>472</v>
      </c>
      <c r="F92" s="8" t="s">
        <v>187</v>
      </c>
      <c r="G92" s="8" t="s">
        <v>473</v>
      </c>
      <c r="H92" s="8" t="s">
        <v>442</v>
      </c>
      <c r="I92" s="8" t="s">
        <v>473</v>
      </c>
      <c r="J92" s="8" t="s">
        <v>474</v>
      </c>
      <c r="K92" s="8" t="s">
        <v>190</v>
      </c>
      <c r="L92" s="8" t="s">
        <v>51</v>
      </c>
      <c r="M92" s="8" t="s">
        <v>119</v>
      </c>
      <c r="N92" s="8" t="s">
        <v>448</v>
      </c>
    </row>
    <row r="93" spans="1:14" s="1" customFormat="1" x14ac:dyDescent="0.25">
      <c r="A93" s="8" t="s">
        <v>439</v>
      </c>
      <c r="B93" s="8" t="s">
        <v>73</v>
      </c>
      <c r="C93" s="8" t="s">
        <v>475</v>
      </c>
      <c r="D93" s="8" t="s">
        <v>475</v>
      </c>
      <c r="E93" s="8" t="s">
        <v>476</v>
      </c>
      <c r="F93" s="8" t="s">
        <v>187</v>
      </c>
      <c r="G93" s="8" t="s">
        <v>430</v>
      </c>
      <c r="H93" s="8" t="s">
        <v>442</v>
      </c>
      <c r="I93" s="8" t="s">
        <v>430</v>
      </c>
      <c r="J93" s="8" t="s">
        <v>430</v>
      </c>
      <c r="K93" s="8" t="s">
        <v>190</v>
      </c>
      <c r="L93" s="8" t="s">
        <v>51</v>
      </c>
      <c r="M93" s="8" t="s">
        <v>119</v>
      </c>
      <c r="N93" s="8" t="s">
        <v>477</v>
      </c>
    </row>
    <row r="94" spans="1:14" s="1" customFormat="1" x14ac:dyDescent="0.25">
      <c r="A94" s="8" t="s">
        <v>439</v>
      </c>
      <c r="B94" s="8" t="s">
        <v>73</v>
      </c>
      <c r="C94" s="8" t="s">
        <v>478</v>
      </c>
      <c r="D94" s="8" t="s">
        <v>478</v>
      </c>
      <c r="E94" s="8" t="s">
        <v>479</v>
      </c>
      <c r="F94" s="8" t="s">
        <v>187</v>
      </c>
      <c r="G94" s="8" t="s">
        <v>480</v>
      </c>
      <c r="H94" s="8" t="s">
        <v>442</v>
      </c>
      <c r="I94" s="8" t="s">
        <v>480</v>
      </c>
      <c r="J94" s="8" t="s">
        <v>480</v>
      </c>
      <c r="K94" s="8" t="s">
        <v>190</v>
      </c>
      <c r="L94" s="8" t="s">
        <v>51</v>
      </c>
      <c r="M94" s="8" t="s">
        <v>119</v>
      </c>
      <c r="N94" s="8" t="s">
        <v>448</v>
      </c>
    </row>
    <row r="95" spans="1:14" s="1" customFormat="1" x14ac:dyDescent="0.25">
      <c r="A95" s="8" t="s">
        <v>439</v>
      </c>
      <c r="B95" s="8" t="s">
        <v>73</v>
      </c>
      <c r="C95" s="8" t="s">
        <v>481</v>
      </c>
      <c r="D95" s="8" t="s">
        <v>481</v>
      </c>
      <c r="E95" s="8" t="s">
        <v>482</v>
      </c>
      <c r="F95" s="8" t="s">
        <v>187</v>
      </c>
      <c r="G95" s="8" t="s">
        <v>483</v>
      </c>
      <c r="H95" s="8" t="s">
        <v>442</v>
      </c>
      <c r="I95" s="8" t="s">
        <v>470</v>
      </c>
      <c r="J95" s="8" t="s">
        <v>484</v>
      </c>
      <c r="K95" s="8" t="s">
        <v>190</v>
      </c>
      <c r="L95" s="8" t="s">
        <v>51</v>
      </c>
      <c r="M95" s="8" t="s">
        <v>119</v>
      </c>
      <c r="N95" s="8" t="s">
        <v>448</v>
      </c>
    </row>
    <row r="96" spans="1:14" s="1" customFormat="1" x14ac:dyDescent="0.25">
      <c r="A96" s="8" t="s">
        <v>439</v>
      </c>
      <c r="B96" s="8" t="s">
        <v>73</v>
      </c>
      <c r="C96" s="8" t="s">
        <v>485</v>
      </c>
      <c r="D96" s="8" t="s">
        <v>485</v>
      </c>
      <c r="E96" s="8" t="s">
        <v>486</v>
      </c>
      <c r="F96" s="8" t="s">
        <v>116</v>
      </c>
      <c r="G96" s="8" t="s">
        <v>460</v>
      </c>
      <c r="H96" s="8" t="s">
        <v>442</v>
      </c>
      <c r="I96" s="8" t="s">
        <v>460</v>
      </c>
      <c r="J96" s="8" t="s">
        <v>460</v>
      </c>
      <c r="K96" s="8" t="s">
        <v>487</v>
      </c>
      <c r="L96" s="8" t="s">
        <v>51</v>
      </c>
      <c r="M96" s="8" t="s">
        <v>119</v>
      </c>
      <c r="N96" s="8" t="s">
        <v>488</v>
      </c>
    </row>
    <row r="97" spans="1:14" s="1" customFormat="1" x14ac:dyDescent="0.25">
      <c r="A97" s="8" t="s">
        <v>489</v>
      </c>
      <c r="B97" s="8" t="s">
        <v>141</v>
      </c>
      <c r="C97" s="8" t="s">
        <v>490</v>
      </c>
      <c r="D97" s="8" t="s">
        <v>490</v>
      </c>
      <c r="E97" s="8" t="s">
        <v>491</v>
      </c>
      <c r="F97" s="8" t="s">
        <v>252</v>
      </c>
      <c r="G97" s="8" t="s">
        <v>492</v>
      </c>
      <c r="H97" s="8" t="s">
        <v>493</v>
      </c>
      <c r="I97" s="8" t="s">
        <v>493</v>
      </c>
      <c r="J97" s="8" t="s">
        <v>493</v>
      </c>
      <c r="K97" s="8" t="s">
        <v>494</v>
      </c>
      <c r="L97" s="8" t="s">
        <v>51</v>
      </c>
      <c r="M97" s="8" t="s">
        <v>256</v>
      </c>
      <c r="N97" s="8" t="s">
        <v>495</v>
      </c>
    </row>
    <row r="98" spans="1:14" s="1" customFormat="1" x14ac:dyDescent="0.25">
      <c r="A98" s="8" t="s">
        <v>489</v>
      </c>
      <c r="B98" s="8" t="s">
        <v>141</v>
      </c>
      <c r="C98" s="8" t="s">
        <v>496</v>
      </c>
      <c r="D98" s="8" t="s">
        <v>496</v>
      </c>
      <c r="E98" s="8" t="s">
        <v>497</v>
      </c>
      <c r="F98" s="8" t="s">
        <v>76</v>
      </c>
      <c r="G98" s="8" t="s">
        <v>498</v>
      </c>
      <c r="H98" s="8" t="s">
        <v>493</v>
      </c>
      <c r="I98" s="8" t="s">
        <v>498</v>
      </c>
      <c r="J98" s="8" t="s">
        <v>498</v>
      </c>
      <c r="K98" s="8" t="s">
        <v>499</v>
      </c>
      <c r="L98" s="8" t="s">
        <v>51</v>
      </c>
      <c r="M98" s="8" t="s">
        <v>154</v>
      </c>
      <c r="N98" s="8" t="s">
        <v>500</v>
      </c>
    </row>
    <row r="99" spans="1:14" s="1" customFormat="1" x14ac:dyDescent="0.25">
      <c r="A99" s="8" t="s">
        <v>489</v>
      </c>
      <c r="B99" s="8" t="s">
        <v>141</v>
      </c>
      <c r="C99" s="8" t="s">
        <v>501</v>
      </c>
      <c r="D99" s="8" t="s">
        <v>501</v>
      </c>
      <c r="E99" s="8" t="s">
        <v>502</v>
      </c>
      <c r="F99" s="8" t="s">
        <v>76</v>
      </c>
      <c r="G99" s="8" t="s">
        <v>503</v>
      </c>
      <c r="H99" s="8" t="s">
        <v>493</v>
      </c>
      <c r="I99" s="8" t="s">
        <v>504</v>
      </c>
      <c r="J99" s="8" t="s">
        <v>505</v>
      </c>
      <c r="K99" s="8" t="s">
        <v>148</v>
      </c>
      <c r="L99" s="8" t="s">
        <v>51</v>
      </c>
      <c r="M99" s="8" t="s">
        <v>154</v>
      </c>
      <c r="N99" s="8" t="s">
        <v>506</v>
      </c>
    </row>
    <row r="100" spans="1:14" s="1" customFormat="1" x14ac:dyDescent="0.25">
      <c r="A100" s="8" t="s">
        <v>489</v>
      </c>
      <c r="B100" s="8" t="s">
        <v>141</v>
      </c>
      <c r="C100" s="8" t="s">
        <v>507</v>
      </c>
      <c r="D100" s="8" t="s">
        <v>507</v>
      </c>
      <c r="E100" s="8" t="s">
        <v>508</v>
      </c>
      <c r="F100" s="8" t="s">
        <v>76</v>
      </c>
      <c r="G100" s="8" t="s">
        <v>509</v>
      </c>
      <c r="H100" s="8" t="s">
        <v>493</v>
      </c>
      <c r="I100" s="8" t="s">
        <v>510</v>
      </c>
      <c r="J100" s="8" t="s">
        <v>509</v>
      </c>
      <c r="K100" s="8" t="s">
        <v>511</v>
      </c>
      <c r="L100" s="8" t="s">
        <v>51</v>
      </c>
      <c r="M100" s="8" t="s">
        <v>82</v>
      </c>
      <c r="N100" s="8" t="s">
        <v>512</v>
      </c>
    </row>
    <row r="101" spans="1:14" s="1" customFormat="1" x14ac:dyDescent="0.25">
      <c r="A101" s="8" t="s">
        <v>489</v>
      </c>
      <c r="B101" s="8" t="s">
        <v>141</v>
      </c>
      <c r="C101" s="8" t="s">
        <v>513</v>
      </c>
      <c r="D101" s="8" t="s">
        <v>513</v>
      </c>
      <c r="E101" s="8" t="s">
        <v>514</v>
      </c>
      <c r="F101" s="8" t="s">
        <v>76</v>
      </c>
      <c r="G101" s="8" t="s">
        <v>515</v>
      </c>
      <c r="H101" s="8" t="s">
        <v>493</v>
      </c>
      <c r="I101" s="8" t="s">
        <v>515</v>
      </c>
      <c r="J101" s="8" t="s">
        <v>515</v>
      </c>
      <c r="K101" s="8" t="s">
        <v>148</v>
      </c>
      <c r="L101" s="8" t="s">
        <v>51</v>
      </c>
      <c r="M101" s="8" t="s">
        <v>104</v>
      </c>
      <c r="N101" s="8" t="s">
        <v>516</v>
      </c>
    </row>
    <row r="102" spans="1:14" s="1" customFormat="1" x14ac:dyDescent="0.25">
      <c r="A102" s="8" t="s">
        <v>489</v>
      </c>
      <c r="B102" s="8" t="s">
        <v>141</v>
      </c>
      <c r="C102" s="8" t="s">
        <v>517</v>
      </c>
      <c r="D102" s="8" t="s">
        <v>517</v>
      </c>
      <c r="E102" s="8" t="s">
        <v>518</v>
      </c>
      <c r="F102" s="8" t="s">
        <v>158</v>
      </c>
      <c r="G102" s="8" t="s">
        <v>519</v>
      </c>
      <c r="H102" s="8" t="s">
        <v>493</v>
      </c>
      <c r="I102" s="8" t="s">
        <v>493</v>
      </c>
      <c r="J102" s="8" t="s">
        <v>519</v>
      </c>
      <c r="K102" s="8" t="s">
        <v>520</v>
      </c>
      <c r="L102" s="8" t="s">
        <v>51</v>
      </c>
      <c r="M102" s="8" t="s">
        <v>104</v>
      </c>
      <c r="N102" s="8" t="s">
        <v>521</v>
      </c>
    </row>
    <row r="103" spans="1:14" s="1" customFormat="1" x14ac:dyDescent="0.25">
      <c r="A103" s="8" t="s">
        <v>489</v>
      </c>
      <c r="B103" s="8" t="s">
        <v>141</v>
      </c>
      <c r="C103" s="8" t="s">
        <v>522</v>
      </c>
      <c r="D103" s="8" t="s">
        <v>522</v>
      </c>
      <c r="E103" s="8" t="s">
        <v>523</v>
      </c>
      <c r="F103" s="8" t="s">
        <v>164</v>
      </c>
      <c r="G103" s="8" t="s">
        <v>524</v>
      </c>
      <c r="H103" s="8" t="s">
        <v>493</v>
      </c>
      <c r="I103" s="8" t="s">
        <v>524</v>
      </c>
      <c r="J103" s="8" t="s">
        <v>524</v>
      </c>
      <c r="K103" s="8" t="s">
        <v>148</v>
      </c>
      <c r="L103" s="8" t="s">
        <v>51</v>
      </c>
      <c r="M103" s="8" t="s">
        <v>119</v>
      </c>
      <c r="N103" s="8" t="s">
        <v>525</v>
      </c>
    </row>
    <row r="104" spans="1:14" s="1" customFormat="1" x14ac:dyDescent="0.25">
      <c r="A104" s="8" t="s">
        <v>489</v>
      </c>
      <c r="B104" s="8" t="s">
        <v>141</v>
      </c>
      <c r="C104" s="8" t="s">
        <v>526</v>
      </c>
      <c r="D104" s="8" t="s">
        <v>526</v>
      </c>
      <c r="E104" s="8" t="s">
        <v>527</v>
      </c>
      <c r="F104" s="8" t="s">
        <v>164</v>
      </c>
      <c r="G104" s="8" t="s">
        <v>528</v>
      </c>
      <c r="H104" s="8" t="s">
        <v>493</v>
      </c>
      <c r="I104" s="8" t="s">
        <v>528</v>
      </c>
      <c r="J104" s="8" t="s">
        <v>528</v>
      </c>
      <c r="K104" s="8" t="s">
        <v>148</v>
      </c>
      <c r="L104" s="8" t="s">
        <v>51</v>
      </c>
      <c r="M104" s="8" t="s">
        <v>104</v>
      </c>
      <c r="N104" s="8" t="s">
        <v>529</v>
      </c>
    </row>
    <row r="105" spans="1:14" s="1" customFormat="1" x14ac:dyDescent="0.25">
      <c r="A105" s="8" t="s">
        <v>489</v>
      </c>
      <c r="B105" s="8" t="s">
        <v>141</v>
      </c>
      <c r="C105" s="8" t="s">
        <v>530</v>
      </c>
      <c r="D105" s="8" t="s">
        <v>530</v>
      </c>
      <c r="E105" s="8" t="s">
        <v>531</v>
      </c>
      <c r="F105" s="8" t="s">
        <v>164</v>
      </c>
      <c r="G105" s="8" t="s">
        <v>532</v>
      </c>
      <c r="H105" s="8" t="s">
        <v>493</v>
      </c>
      <c r="I105" s="8" t="s">
        <v>515</v>
      </c>
      <c r="J105" s="8" t="s">
        <v>532</v>
      </c>
      <c r="K105" s="8" t="s">
        <v>533</v>
      </c>
      <c r="L105" s="8" t="s">
        <v>51</v>
      </c>
      <c r="M105" s="8" t="s">
        <v>119</v>
      </c>
      <c r="N105" s="8" t="s">
        <v>534</v>
      </c>
    </row>
    <row r="106" spans="1:14" s="1" customFormat="1" x14ac:dyDescent="0.25">
      <c r="A106" s="8" t="s">
        <v>489</v>
      </c>
      <c r="B106" s="8" t="s">
        <v>141</v>
      </c>
      <c r="C106" s="8" t="s">
        <v>535</v>
      </c>
      <c r="D106" s="8" t="s">
        <v>536</v>
      </c>
      <c r="E106" s="8" t="s">
        <v>537</v>
      </c>
      <c r="F106" s="8" t="s">
        <v>164</v>
      </c>
      <c r="G106" s="8" t="s">
        <v>283</v>
      </c>
      <c r="H106" s="8" t="s">
        <v>493</v>
      </c>
      <c r="I106" s="8" t="s">
        <v>493</v>
      </c>
      <c r="J106" s="8" t="s">
        <v>493</v>
      </c>
      <c r="K106" s="8" t="s">
        <v>538</v>
      </c>
      <c r="L106" s="8" t="s">
        <v>51</v>
      </c>
      <c r="M106" s="8" t="s">
        <v>119</v>
      </c>
      <c r="N106" s="8" t="s">
        <v>539</v>
      </c>
    </row>
    <row r="107" spans="1:14" s="1" customFormat="1" x14ac:dyDescent="0.25">
      <c r="A107" s="8" t="s">
        <v>489</v>
      </c>
      <c r="B107" s="8" t="s">
        <v>141</v>
      </c>
      <c r="C107" s="8" t="s">
        <v>540</v>
      </c>
      <c r="D107" s="8" t="s">
        <v>540</v>
      </c>
      <c r="E107" s="8" t="s">
        <v>541</v>
      </c>
      <c r="F107" s="8" t="s">
        <v>164</v>
      </c>
      <c r="G107" s="8" t="s">
        <v>542</v>
      </c>
      <c r="H107" s="8" t="s">
        <v>493</v>
      </c>
      <c r="I107" s="8" t="s">
        <v>542</v>
      </c>
      <c r="J107" s="8" t="s">
        <v>542</v>
      </c>
      <c r="K107" s="8" t="s">
        <v>533</v>
      </c>
      <c r="L107" s="8" t="s">
        <v>51</v>
      </c>
      <c r="M107" s="8" t="s">
        <v>119</v>
      </c>
      <c r="N107" s="8" t="s">
        <v>543</v>
      </c>
    </row>
    <row r="108" spans="1:14" s="1" customFormat="1" x14ac:dyDescent="0.25">
      <c r="A108" s="8" t="s">
        <v>489</v>
      </c>
      <c r="B108" s="8" t="s">
        <v>141</v>
      </c>
      <c r="C108" s="8" t="s">
        <v>544</v>
      </c>
      <c r="D108" s="8" t="s">
        <v>544</v>
      </c>
      <c r="E108" s="8" t="s">
        <v>545</v>
      </c>
      <c r="F108" s="8" t="s">
        <v>164</v>
      </c>
      <c r="G108" s="8" t="s">
        <v>546</v>
      </c>
      <c r="H108" s="8" t="s">
        <v>493</v>
      </c>
      <c r="I108" s="8" t="s">
        <v>504</v>
      </c>
      <c r="J108" s="8" t="s">
        <v>546</v>
      </c>
      <c r="K108" s="8" t="s">
        <v>547</v>
      </c>
      <c r="L108" s="8" t="s">
        <v>51</v>
      </c>
      <c r="M108" s="8" t="s">
        <v>119</v>
      </c>
      <c r="N108" s="8" t="s">
        <v>548</v>
      </c>
    </row>
    <row r="109" spans="1:14" s="1" customFormat="1" x14ac:dyDescent="0.25">
      <c r="A109" s="8" t="s">
        <v>489</v>
      </c>
      <c r="B109" s="8" t="s">
        <v>141</v>
      </c>
      <c r="C109" s="8" t="s">
        <v>549</v>
      </c>
      <c r="D109" s="8" t="s">
        <v>549</v>
      </c>
      <c r="E109" s="8" t="s">
        <v>550</v>
      </c>
      <c r="F109" s="8" t="s">
        <v>164</v>
      </c>
      <c r="G109" s="8" t="s">
        <v>425</v>
      </c>
      <c r="H109" s="8" t="s">
        <v>493</v>
      </c>
      <c r="I109" s="8" t="s">
        <v>493</v>
      </c>
      <c r="J109" s="8" t="s">
        <v>551</v>
      </c>
      <c r="K109" s="8" t="s">
        <v>552</v>
      </c>
      <c r="L109" s="8" t="s">
        <v>51</v>
      </c>
      <c r="M109" s="8" t="s">
        <v>104</v>
      </c>
      <c r="N109" s="8" t="s">
        <v>553</v>
      </c>
    </row>
    <row r="110" spans="1:14" s="1" customFormat="1" x14ac:dyDescent="0.25">
      <c r="A110" s="8" t="s">
        <v>489</v>
      </c>
      <c r="B110" s="8" t="s">
        <v>141</v>
      </c>
      <c r="C110" s="8" t="s">
        <v>554</v>
      </c>
      <c r="D110" s="8" t="s">
        <v>554</v>
      </c>
      <c r="E110" s="8" t="s">
        <v>555</v>
      </c>
      <c r="F110" s="8" t="s">
        <v>164</v>
      </c>
      <c r="G110" s="8" t="s">
        <v>556</v>
      </c>
      <c r="H110" s="8" t="s">
        <v>493</v>
      </c>
      <c r="I110" s="8" t="s">
        <v>557</v>
      </c>
      <c r="J110" s="8" t="s">
        <v>556</v>
      </c>
      <c r="K110" s="8" t="s">
        <v>148</v>
      </c>
      <c r="L110" s="8" t="s">
        <v>51</v>
      </c>
      <c r="M110" s="8" t="s">
        <v>104</v>
      </c>
      <c r="N110" s="8" t="s">
        <v>558</v>
      </c>
    </row>
    <row r="111" spans="1:14" s="1" customFormat="1" x14ac:dyDescent="0.25">
      <c r="A111" s="8" t="s">
        <v>489</v>
      </c>
      <c r="B111" s="8" t="s">
        <v>141</v>
      </c>
      <c r="C111" s="8" t="s">
        <v>559</v>
      </c>
      <c r="D111" s="8" t="s">
        <v>559</v>
      </c>
      <c r="E111" s="8" t="s">
        <v>560</v>
      </c>
      <c r="F111" s="8" t="s">
        <v>100</v>
      </c>
      <c r="G111" s="8" t="s">
        <v>561</v>
      </c>
      <c r="H111" s="8" t="s">
        <v>493</v>
      </c>
      <c r="I111" s="8" t="s">
        <v>504</v>
      </c>
      <c r="J111" s="8" t="s">
        <v>505</v>
      </c>
      <c r="K111" s="8" t="s">
        <v>562</v>
      </c>
      <c r="L111" s="8" t="s">
        <v>51</v>
      </c>
      <c r="M111" s="8" t="s">
        <v>119</v>
      </c>
      <c r="N111" s="8" t="s">
        <v>563</v>
      </c>
    </row>
    <row r="112" spans="1:14" s="1" customFormat="1" x14ac:dyDescent="0.25">
      <c r="A112" s="8" t="s">
        <v>489</v>
      </c>
      <c r="B112" s="8" t="s">
        <v>141</v>
      </c>
      <c r="C112" s="8" t="s">
        <v>564</v>
      </c>
      <c r="D112" s="8" t="s">
        <v>564</v>
      </c>
      <c r="E112" s="8" t="s">
        <v>565</v>
      </c>
      <c r="F112" s="8" t="s">
        <v>187</v>
      </c>
      <c r="G112" s="8" t="s">
        <v>566</v>
      </c>
      <c r="H112" s="8" t="s">
        <v>567</v>
      </c>
      <c r="I112" s="8" t="s">
        <v>568</v>
      </c>
      <c r="J112" s="8" t="s">
        <v>568</v>
      </c>
      <c r="K112" s="8" t="s">
        <v>569</v>
      </c>
      <c r="L112" s="8" t="s">
        <v>51</v>
      </c>
      <c r="M112" s="8" t="s">
        <v>119</v>
      </c>
      <c r="N112" s="8" t="s">
        <v>570</v>
      </c>
    </row>
    <row r="113" spans="1:14" s="1" customFormat="1" x14ac:dyDescent="0.25">
      <c r="A113" s="8" t="s">
        <v>489</v>
      </c>
      <c r="B113" s="8" t="s">
        <v>141</v>
      </c>
      <c r="C113" s="8" t="s">
        <v>571</v>
      </c>
      <c r="D113" s="8" t="s">
        <v>571</v>
      </c>
      <c r="E113" s="8" t="s">
        <v>572</v>
      </c>
      <c r="F113" s="8" t="s">
        <v>116</v>
      </c>
      <c r="G113" s="8" t="s">
        <v>573</v>
      </c>
      <c r="H113" s="8" t="s">
        <v>493</v>
      </c>
      <c r="I113" s="8" t="s">
        <v>504</v>
      </c>
      <c r="J113" s="8" t="s">
        <v>573</v>
      </c>
      <c r="K113" s="8" t="s">
        <v>574</v>
      </c>
      <c r="L113" s="8" t="s">
        <v>51</v>
      </c>
      <c r="M113" s="8" t="s">
        <v>119</v>
      </c>
      <c r="N113" s="8" t="s">
        <v>575</v>
      </c>
    </row>
    <row r="114" spans="1:14" s="1" customFormat="1" x14ac:dyDescent="0.25">
      <c r="A114" s="8" t="s">
        <v>489</v>
      </c>
      <c r="B114" s="8" t="s">
        <v>141</v>
      </c>
      <c r="C114" s="8" t="s">
        <v>576</v>
      </c>
      <c r="D114" s="8" t="s">
        <v>576</v>
      </c>
      <c r="E114" s="8" t="s">
        <v>577</v>
      </c>
      <c r="F114" s="8" t="s">
        <v>116</v>
      </c>
      <c r="G114" s="8" t="s">
        <v>578</v>
      </c>
      <c r="H114" s="8" t="s">
        <v>493</v>
      </c>
      <c r="I114" s="8" t="s">
        <v>579</v>
      </c>
      <c r="J114" s="8" t="s">
        <v>493</v>
      </c>
      <c r="K114" s="8" t="s">
        <v>580</v>
      </c>
      <c r="L114" s="8" t="s">
        <v>51</v>
      </c>
      <c r="M114" s="8" t="s">
        <v>119</v>
      </c>
      <c r="N114" s="8" t="s">
        <v>581</v>
      </c>
    </row>
    <row r="115" spans="1:14" s="1" customFormat="1" x14ac:dyDescent="0.25">
      <c r="A115" s="8" t="s">
        <v>582</v>
      </c>
      <c r="B115" s="8" t="s">
        <v>73</v>
      </c>
      <c r="C115" s="8" t="s">
        <v>583</v>
      </c>
      <c r="D115" s="8" t="s">
        <v>583</v>
      </c>
      <c r="E115" s="8" t="s">
        <v>584</v>
      </c>
      <c r="F115" s="8" t="s">
        <v>206</v>
      </c>
      <c r="G115" s="8" t="s">
        <v>585</v>
      </c>
      <c r="H115" s="8" t="s">
        <v>585</v>
      </c>
      <c r="I115" s="8" t="s">
        <v>585</v>
      </c>
      <c r="J115" s="8" t="s">
        <v>586</v>
      </c>
      <c r="K115" s="8" t="s">
        <v>587</v>
      </c>
      <c r="L115" s="8" t="s">
        <v>51</v>
      </c>
      <c r="M115" s="8" t="s">
        <v>82</v>
      </c>
      <c r="N115" s="8" t="s">
        <v>588</v>
      </c>
    </row>
    <row r="116" spans="1:14" s="1" customFormat="1" x14ac:dyDescent="0.25">
      <c r="A116" s="8" t="s">
        <v>582</v>
      </c>
      <c r="B116" s="8" t="s">
        <v>73</v>
      </c>
      <c r="C116" s="8" t="s">
        <v>589</v>
      </c>
      <c r="D116" s="8" t="s">
        <v>589</v>
      </c>
      <c r="E116" s="8" t="s">
        <v>590</v>
      </c>
      <c r="F116" s="8" t="s">
        <v>164</v>
      </c>
      <c r="G116" s="8" t="s">
        <v>591</v>
      </c>
      <c r="H116" s="8" t="s">
        <v>585</v>
      </c>
      <c r="I116" s="8" t="s">
        <v>592</v>
      </c>
      <c r="J116" s="8" t="s">
        <v>591</v>
      </c>
      <c r="K116" s="8" t="s">
        <v>593</v>
      </c>
      <c r="L116" s="8" t="s">
        <v>51</v>
      </c>
      <c r="M116" s="8" t="s">
        <v>104</v>
      </c>
      <c r="N116" s="8" t="s">
        <v>594</v>
      </c>
    </row>
    <row r="117" spans="1:14" s="1" customFormat="1" x14ac:dyDescent="0.25">
      <c r="A117" s="8" t="s">
        <v>582</v>
      </c>
      <c r="B117" s="8" t="s">
        <v>73</v>
      </c>
      <c r="C117" s="8" t="s">
        <v>595</v>
      </c>
      <c r="D117" s="8" t="s">
        <v>595</v>
      </c>
      <c r="E117" s="8" t="s">
        <v>596</v>
      </c>
      <c r="F117" s="8" t="s">
        <v>164</v>
      </c>
      <c r="G117" s="8" t="s">
        <v>201</v>
      </c>
      <c r="H117" s="8" t="s">
        <v>585</v>
      </c>
      <c r="I117" s="8" t="s">
        <v>597</v>
      </c>
      <c r="J117" s="8" t="s">
        <v>201</v>
      </c>
      <c r="K117" s="8" t="s">
        <v>598</v>
      </c>
      <c r="L117" s="8" t="s">
        <v>51</v>
      </c>
      <c r="M117" s="8" t="s">
        <v>104</v>
      </c>
      <c r="N117" s="8" t="s">
        <v>599</v>
      </c>
    </row>
    <row r="118" spans="1:14" s="1" customFormat="1" x14ac:dyDescent="0.25">
      <c r="A118" s="8" t="s">
        <v>582</v>
      </c>
      <c r="B118" s="8" t="s">
        <v>73</v>
      </c>
      <c r="C118" s="8" t="s">
        <v>600</v>
      </c>
      <c r="D118" s="8" t="s">
        <v>600</v>
      </c>
      <c r="E118" s="8" t="s">
        <v>601</v>
      </c>
      <c r="F118" s="8" t="s">
        <v>187</v>
      </c>
      <c r="G118" s="8" t="s">
        <v>602</v>
      </c>
      <c r="H118" s="8" t="s">
        <v>585</v>
      </c>
      <c r="I118" s="8" t="s">
        <v>602</v>
      </c>
      <c r="J118" s="8" t="s">
        <v>602</v>
      </c>
      <c r="K118" s="8" t="s">
        <v>190</v>
      </c>
      <c r="L118" s="8" t="s">
        <v>51</v>
      </c>
      <c r="M118" s="8" t="s">
        <v>119</v>
      </c>
      <c r="N118" s="8" t="s">
        <v>603</v>
      </c>
    </row>
    <row r="119" spans="1:14" s="1" customFormat="1" x14ac:dyDescent="0.25">
      <c r="A119" s="8" t="s">
        <v>582</v>
      </c>
      <c r="B119" s="8" t="s">
        <v>73</v>
      </c>
      <c r="C119" s="8" t="s">
        <v>604</v>
      </c>
      <c r="D119" s="8" t="s">
        <v>604</v>
      </c>
      <c r="E119" s="8" t="s">
        <v>605</v>
      </c>
      <c r="F119" s="8" t="s">
        <v>187</v>
      </c>
      <c r="G119" s="8" t="s">
        <v>606</v>
      </c>
      <c r="H119" s="8" t="s">
        <v>585</v>
      </c>
      <c r="I119" s="8" t="s">
        <v>606</v>
      </c>
      <c r="J119" s="8" t="s">
        <v>606</v>
      </c>
      <c r="K119" s="8" t="s">
        <v>190</v>
      </c>
      <c r="L119" s="8" t="s">
        <v>51</v>
      </c>
      <c r="M119" s="8" t="s">
        <v>119</v>
      </c>
      <c r="N119" s="8" t="s">
        <v>607</v>
      </c>
    </row>
    <row r="120" spans="1:14" s="1" customFormat="1" x14ac:dyDescent="0.25">
      <c r="A120" s="8" t="s">
        <v>582</v>
      </c>
      <c r="B120" s="8" t="s">
        <v>73</v>
      </c>
      <c r="C120" s="8" t="s">
        <v>608</v>
      </c>
      <c r="D120" s="8" t="s">
        <v>608</v>
      </c>
      <c r="E120" s="8" t="s">
        <v>609</v>
      </c>
      <c r="F120" s="8" t="s">
        <v>116</v>
      </c>
      <c r="G120" s="8" t="s">
        <v>610</v>
      </c>
      <c r="H120" s="8" t="s">
        <v>585</v>
      </c>
      <c r="I120" s="8" t="s">
        <v>610</v>
      </c>
      <c r="J120" s="8" t="s">
        <v>610</v>
      </c>
      <c r="K120" s="8" t="s">
        <v>611</v>
      </c>
      <c r="L120" s="8" t="s">
        <v>51</v>
      </c>
      <c r="M120" s="8" t="s">
        <v>119</v>
      </c>
      <c r="N120" s="8" t="s">
        <v>612</v>
      </c>
    </row>
    <row r="121" spans="1:14" s="1" customFormat="1" x14ac:dyDescent="0.25">
      <c r="A121" s="8" t="s">
        <v>582</v>
      </c>
      <c r="B121" s="8" t="s">
        <v>73</v>
      </c>
      <c r="C121" s="8" t="s">
        <v>613</v>
      </c>
      <c r="D121" s="8" t="s">
        <v>613</v>
      </c>
      <c r="E121" s="8" t="s">
        <v>614</v>
      </c>
      <c r="F121" s="8" t="s">
        <v>116</v>
      </c>
      <c r="G121" s="8" t="s">
        <v>615</v>
      </c>
      <c r="H121" s="8" t="s">
        <v>585</v>
      </c>
      <c r="I121" s="8" t="s">
        <v>615</v>
      </c>
      <c r="J121" s="8" t="s">
        <v>615</v>
      </c>
      <c r="K121" s="8" t="s">
        <v>611</v>
      </c>
      <c r="L121" s="8" t="s">
        <v>51</v>
      </c>
      <c r="M121" s="8" t="s">
        <v>119</v>
      </c>
      <c r="N121" s="8" t="s">
        <v>616</v>
      </c>
    </row>
    <row r="122" spans="1:14" s="1" customFormat="1" x14ac:dyDescent="0.25">
      <c r="A122" s="8" t="s">
        <v>617</v>
      </c>
      <c r="B122" s="8" t="s">
        <v>73</v>
      </c>
      <c r="C122" s="8" t="s">
        <v>618</v>
      </c>
      <c r="D122" s="8" t="s">
        <v>618</v>
      </c>
      <c r="E122" s="8" t="s">
        <v>619</v>
      </c>
      <c r="F122" s="8" t="s">
        <v>206</v>
      </c>
      <c r="G122" s="8" t="s">
        <v>620</v>
      </c>
      <c r="H122" s="8" t="s">
        <v>620</v>
      </c>
      <c r="I122" s="8" t="s">
        <v>620</v>
      </c>
      <c r="J122" s="8" t="s">
        <v>621</v>
      </c>
      <c r="K122" s="8" t="s">
        <v>622</v>
      </c>
      <c r="L122" s="8" t="s">
        <v>51</v>
      </c>
      <c r="M122" s="8" t="s">
        <v>210</v>
      </c>
      <c r="N122" s="8" t="s">
        <v>623</v>
      </c>
    </row>
    <row r="123" spans="1:14" s="1" customFormat="1" x14ac:dyDescent="0.25">
      <c r="A123" s="8" t="s">
        <v>617</v>
      </c>
      <c r="B123" s="8" t="s">
        <v>73</v>
      </c>
      <c r="C123" s="8" t="s">
        <v>624</v>
      </c>
      <c r="D123" s="8" t="s">
        <v>624</v>
      </c>
      <c r="E123" s="8" t="s">
        <v>625</v>
      </c>
      <c r="F123" s="8" t="s">
        <v>76</v>
      </c>
      <c r="G123" s="8" t="s">
        <v>626</v>
      </c>
      <c r="H123" s="8" t="s">
        <v>620</v>
      </c>
      <c r="I123" s="8" t="s">
        <v>627</v>
      </c>
      <c r="J123" s="8" t="s">
        <v>628</v>
      </c>
      <c r="K123" s="8" t="s">
        <v>148</v>
      </c>
      <c r="L123" s="8" t="s">
        <v>51</v>
      </c>
      <c r="M123" s="8" t="s">
        <v>82</v>
      </c>
      <c r="N123" s="8" t="s">
        <v>623</v>
      </c>
    </row>
    <row r="124" spans="1:14" s="1" customFormat="1" x14ac:dyDescent="0.25">
      <c r="A124" s="8" t="s">
        <v>617</v>
      </c>
      <c r="B124" s="8" t="s">
        <v>73</v>
      </c>
      <c r="C124" s="8" t="s">
        <v>629</v>
      </c>
      <c r="D124" s="8" t="s">
        <v>629</v>
      </c>
      <c r="E124" s="8" t="s">
        <v>630</v>
      </c>
      <c r="F124" s="8" t="s">
        <v>288</v>
      </c>
      <c r="G124" s="8" t="s">
        <v>631</v>
      </c>
      <c r="H124" s="8" t="s">
        <v>620</v>
      </c>
      <c r="I124" s="8" t="s">
        <v>620</v>
      </c>
      <c r="J124" s="8" t="s">
        <v>620</v>
      </c>
      <c r="K124" s="8" t="s">
        <v>632</v>
      </c>
      <c r="L124" s="8" t="s">
        <v>51</v>
      </c>
      <c r="M124" s="8" t="s">
        <v>104</v>
      </c>
      <c r="N124" s="8" t="s">
        <v>633</v>
      </c>
    </row>
    <row r="125" spans="1:14" s="1" customFormat="1" x14ac:dyDescent="0.25">
      <c r="A125" s="8" t="s">
        <v>617</v>
      </c>
      <c r="B125" s="8" t="s">
        <v>73</v>
      </c>
      <c r="C125" s="8" t="s">
        <v>634</v>
      </c>
      <c r="D125" s="8" t="s">
        <v>634</v>
      </c>
      <c r="E125" s="8"/>
      <c r="F125" s="8" t="s">
        <v>288</v>
      </c>
      <c r="G125" s="8" t="s">
        <v>635</v>
      </c>
      <c r="H125" s="8" t="s">
        <v>620</v>
      </c>
      <c r="I125" s="8" t="s">
        <v>620</v>
      </c>
      <c r="J125" s="8" t="s">
        <v>621</v>
      </c>
      <c r="K125" s="8" t="s">
        <v>636</v>
      </c>
      <c r="L125" s="8" t="s">
        <v>51</v>
      </c>
      <c r="M125" s="8" t="s">
        <v>149</v>
      </c>
      <c r="N125" s="8"/>
    </row>
    <row r="126" spans="1:14" s="1" customFormat="1" x14ac:dyDescent="0.25">
      <c r="A126" s="8" t="s">
        <v>617</v>
      </c>
      <c r="B126" s="8" t="s">
        <v>73</v>
      </c>
      <c r="C126" s="8" t="s">
        <v>637</v>
      </c>
      <c r="D126" s="8" t="s">
        <v>637</v>
      </c>
      <c r="E126" s="8" t="s">
        <v>638</v>
      </c>
      <c r="F126" s="8" t="s">
        <v>164</v>
      </c>
      <c r="G126" s="8" t="s">
        <v>627</v>
      </c>
      <c r="H126" s="8" t="s">
        <v>620</v>
      </c>
      <c r="I126" s="8" t="s">
        <v>639</v>
      </c>
      <c r="J126" s="8" t="s">
        <v>639</v>
      </c>
      <c r="K126" s="8" t="s">
        <v>148</v>
      </c>
      <c r="L126" s="8" t="s">
        <v>51</v>
      </c>
      <c r="M126" s="8" t="s">
        <v>104</v>
      </c>
      <c r="N126" s="8" t="s">
        <v>640</v>
      </c>
    </row>
    <row r="127" spans="1:14" s="1" customFormat="1" x14ac:dyDescent="0.25">
      <c r="A127" s="8" t="s">
        <v>617</v>
      </c>
      <c r="B127" s="8" t="s">
        <v>73</v>
      </c>
      <c r="C127" s="8" t="s">
        <v>641</v>
      </c>
      <c r="D127" s="8" t="s">
        <v>641</v>
      </c>
      <c r="E127" s="8" t="s">
        <v>642</v>
      </c>
      <c r="F127" s="8" t="s">
        <v>187</v>
      </c>
      <c r="G127" s="8" t="s">
        <v>643</v>
      </c>
      <c r="H127" s="8" t="s">
        <v>620</v>
      </c>
      <c r="I127" s="8" t="s">
        <v>627</v>
      </c>
      <c r="J127" s="8" t="s">
        <v>644</v>
      </c>
      <c r="K127" s="8" t="s">
        <v>190</v>
      </c>
      <c r="L127" s="8" t="s">
        <v>51</v>
      </c>
      <c r="M127" s="8" t="s">
        <v>119</v>
      </c>
      <c r="N127" s="8" t="s">
        <v>645</v>
      </c>
    </row>
    <row r="128" spans="1:14" s="1" customFormat="1" x14ac:dyDescent="0.25">
      <c r="A128" s="8" t="s">
        <v>617</v>
      </c>
      <c r="B128" s="8" t="s">
        <v>73</v>
      </c>
      <c r="C128" s="8" t="s">
        <v>646</v>
      </c>
      <c r="D128" s="8" t="s">
        <v>646</v>
      </c>
      <c r="E128" s="8" t="s">
        <v>647</v>
      </c>
      <c r="F128" s="8" t="s">
        <v>187</v>
      </c>
      <c r="G128" s="8" t="s">
        <v>648</v>
      </c>
      <c r="H128" s="8" t="s">
        <v>620</v>
      </c>
      <c r="I128" s="8" t="s">
        <v>649</v>
      </c>
      <c r="J128" s="8" t="s">
        <v>648</v>
      </c>
      <c r="K128" s="8" t="s">
        <v>190</v>
      </c>
      <c r="L128" s="8" t="s">
        <v>51</v>
      </c>
      <c r="M128" s="8" t="s">
        <v>119</v>
      </c>
      <c r="N128" s="8" t="s">
        <v>650</v>
      </c>
    </row>
    <row r="129" spans="1:14" s="1" customFormat="1" x14ac:dyDescent="0.25">
      <c r="A129" s="8" t="s">
        <v>617</v>
      </c>
      <c r="B129" s="8" t="s">
        <v>73</v>
      </c>
      <c r="C129" s="8" t="s">
        <v>651</v>
      </c>
      <c r="D129" s="8" t="s">
        <v>651</v>
      </c>
      <c r="E129" s="8" t="s">
        <v>652</v>
      </c>
      <c r="F129" s="8" t="s">
        <v>187</v>
      </c>
      <c r="G129" s="8" t="s">
        <v>357</v>
      </c>
      <c r="H129" s="8" t="s">
        <v>620</v>
      </c>
      <c r="I129" s="8" t="s">
        <v>653</v>
      </c>
      <c r="J129" s="8" t="s">
        <v>654</v>
      </c>
      <c r="K129" s="8" t="s">
        <v>190</v>
      </c>
      <c r="L129" s="8" t="s">
        <v>51</v>
      </c>
      <c r="M129" s="8" t="s">
        <v>119</v>
      </c>
      <c r="N129" s="8" t="s">
        <v>655</v>
      </c>
    </row>
    <row r="130" spans="1:14" s="1" customFormat="1" x14ac:dyDescent="0.25">
      <c r="A130" s="8" t="s">
        <v>617</v>
      </c>
      <c r="B130" s="8" t="s">
        <v>73</v>
      </c>
      <c r="C130" s="8" t="s">
        <v>656</v>
      </c>
      <c r="D130" s="8" t="s">
        <v>656</v>
      </c>
      <c r="E130" s="8" t="s">
        <v>657</v>
      </c>
      <c r="F130" s="8" t="s">
        <v>187</v>
      </c>
      <c r="G130" s="8" t="s">
        <v>658</v>
      </c>
      <c r="H130" s="8" t="s">
        <v>620</v>
      </c>
      <c r="I130" s="8" t="s">
        <v>659</v>
      </c>
      <c r="J130" s="8" t="s">
        <v>658</v>
      </c>
      <c r="K130" s="8" t="s">
        <v>190</v>
      </c>
      <c r="L130" s="8" t="s">
        <v>51</v>
      </c>
      <c r="M130" s="8" t="s">
        <v>119</v>
      </c>
      <c r="N130" s="8" t="s">
        <v>660</v>
      </c>
    </row>
    <row r="131" spans="1:14" s="1" customFormat="1" x14ac:dyDescent="0.25">
      <c r="A131" s="8" t="s">
        <v>617</v>
      </c>
      <c r="B131" s="8" t="s">
        <v>73</v>
      </c>
      <c r="C131" s="8" t="s">
        <v>661</v>
      </c>
      <c r="D131" s="8" t="s">
        <v>661</v>
      </c>
      <c r="E131" s="8" t="s">
        <v>662</v>
      </c>
      <c r="F131" s="8" t="s">
        <v>187</v>
      </c>
      <c r="G131" s="8" t="s">
        <v>663</v>
      </c>
      <c r="H131" s="8" t="s">
        <v>620</v>
      </c>
      <c r="I131" s="8" t="s">
        <v>664</v>
      </c>
      <c r="J131" s="8" t="s">
        <v>663</v>
      </c>
      <c r="K131" s="8" t="s">
        <v>190</v>
      </c>
      <c r="L131" s="8" t="s">
        <v>51</v>
      </c>
      <c r="M131" s="8" t="s">
        <v>119</v>
      </c>
      <c r="N131" s="8" t="s">
        <v>665</v>
      </c>
    </row>
    <row r="132" spans="1:14" s="1" customFormat="1" x14ac:dyDescent="0.25">
      <c r="A132" s="8" t="s">
        <v>617</v>
      </c>
      <c r="B132" s="8" t="s">
        <v>73</v>
      </c>
      <c r="C132" s="8" t="s">
        <v>666</v>
      </c>
      <c r="D132" s="8" t="s">
        <v>667</v>
      </c>
      <c r="E132" s="8" t="s">
        <v>668</v>
      </c>
      <c r="F132" s="8" t="s">
        <v>187</v>
      </c>
      <c r="G132" s="8" t="s">
        <v>669</v>
      </c>
      <c r="H132" s="8" t="s">
        <v>670</v>
      </c>
      <c r="I132" s="8" t="s">
        <v>671</v>
      </c>
      <c r="J132" s="8" t="s">
        <v>672</v>
      </c>
      <c r="K132" s="8" t="s">
        <v>673</v>
      </c>
      <c r="L132" s="8" t="s">
        <v>51</v>
      </c>
      <c r="M132" s="8" t="s">
        <v>119</v>
      </c>
      <c r="N132" s="8" t="s">
        <v>674</v>
      </c>
    </row>
    <row r="133" spans="1:14" s="1" customFormat="1" x14ac:dyDescent="0.25">
      <c r="A133" s="8" t="s">
        <v>617</v>
      </c>
      <c r="B133" s="8" t="s">
        <v>73</v>
      </c>
      <c r="C133" s="8" t="s">
        <v>675</v>
      </c>
      <c r="D133" s="8" t="s">
        <v>675</v>
      </c>
      <c r="E133" s="8" t="s">
        <v>676</v>
      </c>
      <c r="F133" s="8" t="s">
        <v>187</v>
      </c>
      <c r="G133" s="8" t="s">
        <v>677</v>
      </c>
      <c r="H133" s="8" t="s">
        <v>620</v>
      </c>
      <c r="I133" s="8" t="s">
        <v>678</v>
      </c>
      <c r="J133" s="8" t="s">
        <v>678</v>
      </c>
      <c r="K133" s="8" t="s">
        <v>190</v>
      </c>
      <c r="L133" s="8" t="s">
        <v>51</v>
      </c>
      <c r="M133" s="8" t="s">
        <v>119</v>
      </c>
      <c r="N133" s="8" t="s">
        <v>679</v>
      </c>
    </row>
    <row r="134" spans="1:14" s="1" customFormat="1" x14ac:dyDescent="0.25">
      <c r="A134" s="8" t="s">
        <v>617</v>
      </c>
      <c r="B134" s="8" t="s">
        <v>73</v>
      </c>
      <c r="C134" s="8" t="s">
        <v>680</v>
      </c>
      <c r="D134" s="8" t="s">
        <v>680</v>
      </c>
      <c r="E134" s="8" t="s">
        <v>681</v>
      </c>
      <c r="F134" s="8" t="s">
        <v>187</v>
      </c>
      <c r="G134" s="8" t="s">
        <v>671</v>
      </c>
      <c r="H134" s="8" t="s">
        <v>670</v>
      </c>
      <c r="I134" s="8" t="s">
        <v>671</v>
      </c>
      <c r="J134" s="8" t="s">
        <v>671</v>
      </c>
      <c r="K134" s="8" t="s">
        <v>190</v>
      </c>
      <c r="L134" s="8" t="s">
        <v>51</v>
      </c>
      <c r="M134" s="8" t="s">
        <v>104</v>
      </c>
      <c r="N134" s="8" t="s">
        <v>682</v>
      </c>
    </row>
    <row r="135" spans="1:14" s="1" customFormat="1" x14ac:dyDescent="0.25">
      <c r="A135" s="8" t="s">
        <v>617</v>
      </c>
      <c r="B135" s="8" t="s">
        <v>73</v>
      </c>
      <c r="C135" s="8" t="s">
        <v>683</v>
      </c>
      <c r="D135" s="8" t="s">
        <v>683</v>
      </c>
      <c r="E135" s="8" t="s">
        <v>684</v>
      </c>
      <c r="F135" s="8" t="s">
        <v>116</v>
      </c>
      <c r="G135" s="8" t="s">
        <v>672</v>
      </c>
      <c r="H135" s="8" t="s">
        <v>670</v>
      </c>
      <c r="I135" s="8" t="s">
        <v>671</v>
      </c>
      <c r="J135" s="8" t="s">
        <v>672</v>
      </c>
      <c r="K135" s="8" t="s">
        <v>685</v>
      </c>
      <c r="L135" s="8" t="s">
        <v>51</v>
      </c>
      <c r="M135" s="8" t="s">
        <v>119</v>
      </c>
      <c r="N135" s="8" t="s">
        <v>686</v>
      </c>
    </row>
    <row r="136" spans="1:14" s="1" customFormat="1" x14ac:dyDescent="0.25">
      <c r="A136" s="8" t="s">
        <v>687</v>
      </c>
      <c r="B136" s="8" t="s">
        <v>73</v>
      </c>
      <c r="C136" s="8" t="s">
        <v>688</v>
      </c>
      <c r="D136" s="8" t="s">
        <v>688</v>
      </c>
      <c r="E136" s="8" t="s">
        <v>689</v>
      </c>
      <c r="F136" s="8" t="s">
        <v>206</v>
      </c>
      <c r="G136" s="8" t="s">
        <v>690</v>
      </c>
      <c r="H136" s="8" t="s">
        <v>146</v>
      </c>
      <c r="I136" s="8" t="s">
        <v>690</v>
      </c>
      <c r="J136" s="8" t="s">
        <v>690</v>
      </c>
      <c r="K136" s="8" t="s">
        <v>691</v>
      </c>
      <c r="L136" s="8" t="s">
        <v>51</v>
      </c>
      <c r="M136" s="8" t="s">
        <v>210</v>
      </c>
      <c r="N136" s="8" t="s">
        <v>692</v>
      </c>
    </row>
    <row r="137" spans="1:14" s="1" customFormat="1" x14ac:dyDescent="0.25">
      <c r="A137" s="8" t="s">
        <v>687</v>
      </c>
      <c r="B137" s="8" t="s">
        <v>73</v>
      </c>
      <c r="C137" s="8" t="s">
        <v>693</v>
      </c>
      <c r="D137" s="8" t="s">
        <v>693</v>
      </c>
      <c r="E137" s="8" t="s">
        <v>694</v>
      </c>
      <c r="F137" s="8" t="s">
        <v>164</v>
      </c>
      <c r="G137" s="8" t="s">
        <v>695</v>
      </c>
      <c r="H137" s="8" t="s">
        <v>146</v>
      </c>
      <c r="I137" s="8" t="s">
        <v>696</v>
      </c>
      <c r="J137" s="8" t="s">
        <v>695</v>
      </c>
      <c r="K137" s="8" t="s">
        <v>148</v>
      </c>
      <c r="L137" s="8" t="s">
        <v>51</v>
      </c>
      <c r="M137" s="8" t="s">
        <v>104</v>
      </c>
      <c r="N137" s="8" t="s">
        <v>697</v>
      </c>
    </row>
    <row r="138" spans="1:14" s="1" customFormat="1" x14ac:dyDescent="0.25">
      <c r="A138" s="8" t="s">
        <v>687</v>
      </c>
      <c r="B138" s="8" t="s">
        <v>73</v>
      </c>
      <c r="C138" s="8" t="s">
        <v>698</v>
      </c>
      <c r="D138" s="8" t="s">
        <v>698</v>
      </c>
      <c r="E138" s="8" t="s">
        <v>699</v>
      </c>
      <c r="F138" s="8" t="s">
        <v>164</v>
      </c>
      <c r="G138" s="8" t="s">
        <v>700</v>
      </c>
      <c r="H138" s="8" t="s">
        <v>146</v>
      </c>
      <c r="I138" s="8" t="s">
        <v>700</v>
      </c>
      <c r="J138" s="8" t="s">
        <v>700</v>
      </c>
      <c r="K138" s="8" t="s">
        <v>148</v>
      </c>
      <c r="L138" s="8" t="s">
        <v>51</v>
      </c>
      <c r="M138" s="8" t="s">
        <v>104</v>
      </c>
      <c r="N138" s="8" t="s">
        <v>701</v>
      </c>
    </row>
    <row r="139" spans="1:14" s="1" customFormat="1" x14ac:dyDescent="0.25">
      <c r="A139" s="8" t="s">
        <v>687</v>
      </c>
      <c r="B139" s="8" t="s">
        <v>73</v>
      </c>
      <c r="C139" s="8" t="s">
        <v>702</v>
      </c>
      <c r="D139" s="8" t="s">
        <v>702</v>
      </c>
      <c r="E139" s="8" t="s">
        <v>703</v>
      </c>
      <c r="F139" s="8" t="s">
        <v>164</v>
      </c>
      <c r="G139" s="8" t="s">
        <v>704</v>
      </c>
      <c r="H139" s="8" t="s">
        <v>146</v>
      </c>
      <c r="I139" s="8" t="s">
        <v>704</v>
      </c>
      <c r="J139" s="8" t="s">
        <v>704</v>
      </c>
      <c r="K139" s="8" t="s">
        <v>148</v>
      </c>
      <c r="L139" s="8" t="s">
        <v>51</v>
      </c>
      <c r="M139" s="8" t="s">
        <v>104</v>
      </c>
      <c r="N139" s="8" t="s">
        <v>705</v>
      </c>
    </row>
    <row r="140" spans="1:14" s="1" customFormat="1" x14ac:dyDescent="0.25">
      <c r="A140" s="8" t="s">
        <v>687</v>
      </c>
      <c r="B140" s="8" t="s">
        <v>73</v>
      </c>
      <c r="C140" s="8" t="s">
        <v>706</v>
      </c>
      <c r="D140" s="8" t="s">
        <v>706</v>
      </c>
      <c r="E140" s="8" t="s">
        <v>707</v>
      </c>
      <c r="F140" s="8" t="s">
        <v>100</v>
      </c>
      <c r="G140" s="8" t="s">
        <v>708</v>
      </c>
      <c r="H140" s="8" t="s">
        <v>146</v>
      </c>
      <c r="I140" s="8" t="s">
        <v>708</v>
      </c>
      <c r="J140" s="8" t="s">
        <v>708</v>
      </c>
      <c r="K140" s="8" t="s">
        <v>709</v>
      </c>
      <c r="L140" s="8" t="s">
        <v>51</v>
      </c>
      <c r="M140" s="8" t="s">
        <v>119</v>
      </c>
      <c r="N140" s="8" t="s">
        <v>710</v>
      </c>
    </row>
    <row r="141" spans="1:14" s="1" customFormat="1" x14ac:dyDescent="0.25">
      <c r="A141" s="8" t="s">
        <v>687</v>
      </c>
      <c r="B141" s="8" t="s">
        <v>73</v>
      </c>
      <c r="C141" s="8" t="s">
        <v>711</v>
      </c>
      <c r="D141" s="8" t="s">
        <v>711</v>
      </c>
      <c r="E141" s="8" t="s">
        <v>712</v>
      </c>
      <c r="F141" s="8" t="s">
        <v>187</v>
      </c>
      <c r="G141" s="8" t="s">
        <v>713</v>
      </c>
      <c r="H141" s="8" t="s">
        <v>146</v>
      </c>
      <c r="I141" s="8" t="s">
        <v>714</v>
      </c>
      <c r="J141" s="8" t="s">
        <v>713</v>
      </c>
      <c r="K141" s="8" t="s">
        <v>190</v>
      </c>
      <c r="L141" s="8" t="s">
        <v>51</v>
      </c>
      <c r="M141" s="8" t="s">
        <v>119</v>
      </c>
      <c r="N141" s="8" t="s">
        <v>715</v>
      </c>
    </row>
    <row r="142" spans="1:14" s="1" customFormat="1" x14ac:dyDescent="0.25">
      <c r="A142" s="8" t="s">
        <v>687</v>
      </c>
      <c r="B142" s="8" t="s">
        <v>73</v>
      </c>
      <c r="C142" s="8" t="s">
        <v>716</v>
      </c>
      <c r="D142" s="8" t="s">
        <v>716</v>
      </c>
      <c r="E142" s="8" t="s">
        <v>717</v>
      </c>
      <c r="F142" s="8" t="s">
        <v>187</v>
      </c>
      <c r="G142" s="8" t="s">
        <v>718</v>
      </c>
      <c r="H142" s="8" t="s">
        <v>146</v>
      </c>
      <c r="I142" s="8" t="s">
        <v>718</v>
      </c>
      <c r="J142" s="8" t="s">
        <v>718</v>
      </c>
      <c r="K142" s="8" t="s">
        <v>719</v>
      </c>
      <c r="L142" s="8" t="s">
        <v>51</v>
      </c>
      <c r="M142" s="8" t="s">
        <v>119</v>
      </c>
      <c r="N142" s="8" t="s">
        <v>720</v>
      </c>
    </row>
    <row r="143" spans="1:14" s="1" customFormat="1" x14ac:dyDescent="0.25">
      <c r="A143" s="8" t="s">
        <v>721</v>
      </c>
      <c r="B143" s="8" t="s">
        <v>141</v>
      </c>
      <c r="C143" s="8" t="s">
        <v>722</v>
      </c>
      <c r="D143" s="8" t="s">
        <v>723</v>
      </c>
      <c r="E143" s="8" t="s">
        <v>724</v>
      </c>
      <c r="F143" s="8" t="s">
        <v>725</v>
      </c>
      <c r="G143" s="8" t="s">
        <v>726</v>
      </c>
      <c r="H143" s="8" t="s">
        <v>727</v>
      </c>
      <c r="I143" s="8" t="s">
        <v>727</v>
      </c>
      <c r="J143" s="8" t="s">
        <v>727</v>
      </c>
      <c r="K143" s="8" t="s">
        <v>728</v>
      </c>
      <c r="L143" s="8" t="s">
        <v>51</v>
      </c>
      <c r="M143" s="8" t="s">
        <v>210</v>
      </c>
      <c r="N143" s="8" t="s">
        <v>729</v>
      </c>
    </row>
    <row r="144" spans="1:14" s="1" customFormat="1" x14ac:dyDescent="0.25">
      <c r="A144" s="8" t="s">
        <v>721</v>
      </c>
      <c r="B144" s="8" t="s">
        <v>141</v>
      </c>
      <c r="C144" s="8" t="s">
        <v>730</v>
      </c>
      <c r="D144" s="8" t="s">
        <v>730</v>
      </c>
      <c r="E144" s="8" t="s">
        <v>731</v>
      </c>
      <c r="F144" s="8" t="s">
        <v>206</v>
      </c>
      <c r="G144" s="8" t="s">
        <v>732</v>
      </c>
      <c r="H144" s="8" t="s">
        <v>727</v>
      </c>
      <c r="I144" s="8" t="s">
        <v>733</v>
      </c>
      <c r="J144" s="8" t="s">
        <v>734</v>
      </c>
      <c r="K144" s="8" t="s">
        <v>735</v>
      </c>
      <c r="L144" s="8" t="s">
        <v>51</v>
      </c>
      <c r="M144" s="8" t="s">
        <v>82</v>
      </c>
      <c r="N144" s="8" t="s">
        <v>736</v>
      </c>
    </row>
    <row r="145" spans="1:14" s="1" customFormat="1" x14ac:dyDescent="0.25">
      <c r="A145" s="8" t="s">
        <v>721</v>
      </c>
      <c r="B145" s="8" t="s">
        <v>141</v>
      </c>
      <c r="C145" s="8" t="s">
        <v>737</v>
      </c>
      <c r="D145" s="8" t="s">
        <v>737</v>
      </c>
      <c r="E145" s="8" t="s">
        <v>738</v>
      </c>
      <c r="F145" s="8" t="s">
        <v>76</v>
      </c>
      <c r="G145" s="8" t="s">
        <v>739</v>
      </c>
      <c r="H145" s="8" t="s">
        <v>727</v>
      </c>
      <c r="I145" s="8" t="s">
        <v>740</v>
      </c>
      <c r="J145" s="8" t="s">
        <v>740</v>
      </c>
      <c r="K145" s="8" t="s">
        <v>148</v>
      </c>
      <c r="L145" s="8" t="s">
        <v>51</v>
      </c>
      <c r="M145" s="8" t="s">
        <v>82</v>
      </c>
      <c r="N145" s="8" t="s">
        <v>741</v>
      </c>
    </row>
    <row r="146" spans="1:14" s="1" customFormat="1" x14ac:dyDescent="0.25">
      <c r="A146" s="8" t="s">
        <v>721</v>
      </c>
      <c r="B146" s="8" t="s">
        <v>141</v>
      </c>
      <c r="C146" s="8" t="s">
        <v>742</v>
      </c>
      <c r="D146" s="8" t="s">
        <v>742</v>
      </c>
      <c r="E146" s="8" t="s">
        <v>743</v>
      </c>
      <c r="F146" s="8" t="s">
        <v>76</v>
      </c>
      <c r="G146" s="8" t="s">
        <v>744</v>
      </c>
      <c r="H146" s="8" t="s">
        <v>727</v>
      </c>
      <c r="I146" s="8" t="s">
        <v>727</v>
      </c>
      <c r="J146" s="8" t="s">
        <v>727</v>
      </c>
      <c r="K146" s="8" t="s">
        <v>745</v>
      </c>
      <c r="L146" s="8" t="s">
        <v>51</v>
      </c>
      <c r="M146" s="8" t="s">
        <v>82</v>
      </c>
      <c r="N146" s="8" t="s">
        <v>746</v>
      </c>
    </row>
    <row r="147" spans="1:14" s="1" customFormat="1" x14ac:dyDescent="0.25">
      <c r="A147" s="8" t="s">
        <v>721</v>
      </c>
      <c r="B147" s="8" t="s">
        <v>141</v>
      </c>
      <c r="C147" s="8" t="s">
        <v>747</v>
      </c>
      <c r="D147" s="8" t="s">
        <v>747</v>
      </c>
      <c r="E147" s="8" t="s">
        <v>748</v>
      </c>
      <c r="F147" s="8" t="s">
        <v>76</v>
      </c>
      <c r="G147" s="8" t="s">
        <v>749</v>
      </c>
      <c r="H147" s="8" t="s">
        <v>727</v>
      </c>
      <c r="I147" s="8" t="s">
        <v>750</v>
      </c>
      <c r="J147" s="8" t="s">
        <v>751</v>
      </c>
      <c r="K147" s="8" t="s">
        <v>752</v>
      </c>
      <c r="L147" s="8" t="s">
        <v>51</v>
      </c>
      <c r="M147" s="8" t="s">
        <v>104</v>
      </c>
      <c r="N147" s="8" t="s">
        <v>753</v>
      </c>
    </row>
    <row r="148" spans="1:14" s="1" customFormat="1" x14ac:dyDescent="0.25">
      <c r="A148" s="8" t="s">
        <v>721</v>
      </c>
      <c r="B148" s="8" t="s">
        <v>141</v>
      </c>
      <c r="C148" s="8" t="s">
        <v>754</v>
      </c>
      <c r="D148" s="8" t="s">
        <v>755</v>
      </c>
      <c r="E148" s="8" t="s">
        <v>756</v>
      </c>
      <c r="F148" s="8" t="s">
        <v>100</v>
      </c>
      <c r="G148" s="8" t="s">
        <v>757</v>
      </c>
      <c r="H148" s="8" t="s">
        <v>727</v>
      </c>
      <c r="I148" s="8" t="s">
        <v>727</v>
      </c>
      <c r="J148" s="8" t="s">
        <v>757</v>
      </c>
      <c r="K148" s="8" t="s">
        <v>758</v>
      </c>
      <c r="L148" s="8" t="s">
        <v>51</v>
      </c>
      <c r="M148" s="8" t="s">
        <v>104</v>
      </c>
      <c r="N148" s="8" t="s">
        <v>759</v>
      </c>
    </row>
    <row r="149" spans="1:14" s="1" customFormat="1" x14ac:dyDescent="0.25">
      <c r="A149" s="8" t="s">
        <v>721</v>
      </c>
      <c r="B149" s="8" t="s">
        <v>141</v>
      </c>
      <c r="C149" s="8" t="s">
        <v>760</v>
      </c>
      <c r="D149" s="8" t="s">
        <v>760</v>
      </c>
      <c r="E149" s="8" t="s">
        <v>761</v>
      </c>
      <c r="F149" s="8" t="s">
        <v>100</v>
      </c>
      <c r="G149" s="8" t="s">
        <v>762</v>
      </c>
      <c r="H149" s="8" t="s">
        <v>727</v>
      </c>
      <c r="I149" s="8" t="s">
        <v>727</v>
      </c>
      <c r="J149" s="8" t="s">
        <v>763</v>
      </c>
      <c r="K149" s="8" t="s">
        <v>764</v>
      </c>
      <c r="L149" s="8" t="s">
        <v>51</v>
      </c>
      <c r="M149" s="8" t="s">
        <v>104</v>
      </c>
      <c r="N149" s="8" t="s">
        <v>765</v>
      </c>
    </row>
    <row r="150" spans="1:14" s="1" customFormat="1" x14ac:dyDescent="0.25">
      <c r="A150" s="8" t="s">
        <v>721</v>
      </c>
      <c r="B150" s="8" t="s">
        <v>141</v>
      </c>
      <c r="C150" s="8" t="s">
        <v>766</v>
      </c>
      <c r="D150" s="8" t="s">
        <v>767</v>
      </c>
      <c r="E150" s="8" t="s">
        <v>768</v>
      </c>
      <c r="F150" s="8" t="s">
        <v>100</v>
      </c>
      <c r="G150" s="8" t="s">
        <v>769</v>
      </c>
      <c r="H150" s="8" t="s">
        <v>727</v>
      </c>
      <c r="I150" s="8" t="s">
        <v>750</v>
      </c>
      <c r="J150" s="8" t="s">
        <v>750</v>
      </c>
      <c r="K150" s="8" t="s">
        <v>758</v>
      </c>
      <c r="L150" s="8" t="s">
        <v>51</v>
      </c>
      <c r="M150" s="8" t="s">
        <v>104</v>
      </c>
      <c r="N150" s="8" t="s">
        <v>770</v>
      </c>
    </row>
    <row r="151" spans="1:14" s="1" customFormat="1" x14ac:dyDescent="0.25">
      <c r="A151" s="8" t="s">
        <v>721</v>
      </c>
      <c r="B151" s="8" t="s">
        <v>141</v>
      </c>
      <c r="C151" s="8" t="s">
        <v>771</v>
      </c>
      <c r="D151" s="8" t="s">
        <v>771</v>
      </c>
      <c r="E151" s="8" t="s">
        <v>772</v>
      </c>
      <c r="F151" s="8" t="s">
        <v>100</v>
      </c>
      <c r="G151" s="8" t="s">
        <v>773</v>
      </c>
      <c r="H151" s="8" t="s">
        <v>727</v>
      </c>
      <c r="I151" s="8" t="s">
        <v>733</v>
      </c>
      <c r="J151" s="8" t="s">
        <v>773</v>
      </c>
      <c r="K151" s="8" t="s">
        <v>774</v>
      </c>
      <c r="L151" s="8" t="s">
        <v>51</v>
      </c>
      <c r="M151" s="8" t="s">
        <v>119</v>
      </c>
      <c r="N151" s="8" t="s">
        <v>775</v>
      </c>
    </row>
    <row r="152" spans="1:14" s="1" customFormat="1" x14ac:dyDescent="0.25">
      <c r="A152" s="8" t="s">
        <v>721</v>
      </c>
      <c r="B152" s="8" t="s">
        <v>141</v>
      </c>
      <c r="C152" s="8" t="s">
        <v>776</v>
      </c>
      <c r="D152" s="8" t="s">
        <v>777</v>
      </c>
      <c r="E152" s="8" t="s">
        <v>778</v>
      </c>
      <c r="F152" s="8" t="s">
        <v>100</v>
      </c>
      <c r="G152" s="8" t="s">
        <v>779</v>
      </c>
      <c r="H152" s="8" t="s">
        <v>395</v>
      </c>
      <c r="I152" s="8" t="s">
        <v>780</v>
      </c>
      <c r="J152" s="8" t="s">
        <v>779</v>
      </c>
      <c r="K152" s="8" t="s">
        <v>781</v>
      </c>
      <c r="L152" s="8" t="s">
        <v>51</v>
      </c>
      <c r="M152" s="8" t="s">
        <v>104</v>
      </c>
      <c r="N152" s="8" t="s">
        <v>412</v>
      </c>
    </row>
    <row r="153" spans="1:14" s="1" customFormat="1" x14ac:dyDescent="0.25">
      <c r="A153" s="8" t="s">
        <v>721</v>
      </c>
      <c r="B153" s="8" t="s">
        <v>141</v>
      </c>
      <c r="C153" s="8" t="s">
        <v>782</v>
      </c>
      <c r="D153" s="8" t="s">
        <v>783</v>
      </c>
      <c r="E153" s="8" t="s">
        <v>784</v>
      </c>
      <c r="F153" s="8" t="s">
        <v>100</v>
      </c>
      <c r="G153" s="8" t="s">
        <v>785</v>
      </c>
      <c r="H153" s="8" t="s">
        <v>727</v>
      </c>
      <c r="I153" s="8" t="s">
        <v>727</v>
      </c>
      <c r="J153" s="8" t="s">
        <v>551</v>
      </c>
      <c r="K153" s="8" t="s">
        <v>758</v>
      </c>
      <c r="L153" s="8" t="s">
        <v>51</v>
      </c>
      <c r="M153" s="8" t="s">
        <v>104</v>
      </c>
      <c r="N153" s="8" t="s">
        <v>786</v>
      </c>
    </row>
    <row r="154" spans="1:14" s="1" customFormat="1" x14ac:dyDescent="0.25">
      <c r="A154" s="8" t="s">
        <v>721</v>
      </c>
      <c r="B154" s="8" t="s">
        <v>141</v>
      </c>
      <c r="C154" s="8" t="s">
        <v>787</v>
      </c>
      <c r="D154" s="8" t="s">
        <v>787</v>
      </c>
      <c r="E154" s="8" t="s">
        <v>788</v>
      </c>
      <c r="F154" s="8" t="s">
        <v>116</v>
      </c>
      <c r="G154" s="8" t="s">
        <v>789</v>
      </c>
      <c r="H154" s="8" t="s">
        <v>727</v>
      </c>
      <c r="I154" s="8" t="s">
        <v>727</v>
      </c>
      <c r="J154" s="8" t="s">
        <v>790</v>
      </c>
      <c r="K154" s="8" t="s">
        <v>791</v>
      </c>
      <c r="L154" s="8" t="s">
        <v>51</v>
      </c>
      <c r="M154" s="8" t="s">
        <v>119</v>
      </c>
      <c r="N154" s="8" t="s">
        <v>792</v>
      </c>
    </row>
    <row r="155" spans="1:14" s="1" customFormat="1" x14ac:dyDescent="0.25">
      <c r="A155" s="8" t="s">
        <v>721</v>
      </c>
      <c r="B155" s="8" t="s">
        <v>141</v>
      </c>
      <c r="C155" s="8" t="s">
        <v>793</v>
      </c>
      <c r="D155" s="8" t="s">
        <v>794</v>
      </c>
      <c r="E155" s="8" t="s">
        <v>795</v>
      </c>
      <c r="F155" s="8" t="s">
        <v>116</v>
      </c>
      <c r="G155" s="8" t="s">
        <v>796</v>
      </c>
      <c r="H155" s="8" t="s">
        <v>395</v>
      </c>
      <c r="I155" s="8" t="s">
        <v>797</v>
      </c>
      <c r="J155" s="8" t="s">
        <v>796</v>
      </c>
      <c r="K155" s="8" t="s">
        <v>781</v>
      </c>
      <c r="L155" s="8" t="s">
        <v>51</v>
      </c>
      <c r="M155" s="8" t="s">
        <v>119</v>
      </c>
      <c r="N155" s="8" t="s">
        <v>412</v>
      </c>
    </row>
    <row r="156" spans="1:14" s="1" customFormat="1" x14ac:dyDescent="0.25">
      <c r="A156" s="8" t="s">
        <v>721</v>
      </c>
      <c r="B156" s="8" t="s">
        <v>141</v>
      </c>
      <c r="C156" s="8" t="s">
        <v>798</v>
      </c>
      <c r="D156" s="8" t="s">
        <v>798</v>
      </c>
      <c r="E156" s="8" t="s">
        <v>799</v>
      </c>
      <c r="F156" s="8" t="s">
        <v>116</v>
      </c>
      <c r="G156" s="8" t="s">
        <v>800</v>
      </c>
      <c r="H156" s="8" t="s">
        <v>727</v>
      </c>
      <c r="I156" s="8" t="s">
        <v>800</v>
      </c>
      <c r="J156" s="8" t="s">
        <v>800</v>
      </c>
      <c r="K156" s="8" t="s">
        <v>791</v>
      </c>
      <c r="L156" s="8" t="s">
        <v>51</v>
      </c>
      <c r="M156" s="8" t="s">
        <v>104</v>
      </c>
      <c r="N156" s="8" t="s">
        <v>801</v>
      </c>
    </row>
    <row r="157" spans="1:14" s="1" customFormat="1" x14ac:dyDescent="0.25">
      <c r="A157" s="8" t="s">
        <v>721</v>
      </c>
      <c r="B157" s="8" t="s">
        <v>141</v>
      </c>
      <c r="C157" s="8" t="s">
        <v>802</v>
      </c>
      <c r="D157" s="8" t="s">
        <v>802</v>
      </c>
      <c r="E157" s="8" t="s">
        <v>803</v>
      </c>
      <c r="F157" s="8" t="s">
        <v>116</v>
      </c>
      <c r="G157" s="8" t="s">
        <v>804</v>
      </c>
      <c r="H157" s="8" t="s">
        <v>727</v>
      </c>
      <c r="I157" s="8" t="s">
        <v>740</v>
      </c>
      <c r="J157" s="8" t="s">
        <v>804</v>
      </c>
      <c r="K157" s="8" t="s">
        <v>791</v>
      </c>
      <c r="L157" s="8" t="s">
        <v>51</v>
      </c>
      <c r="M157" s="8" t="s">
        <v>104</v>
      </c>
      <c r="N157" s="8" t="s">
        <v>805</v>
      </c>
    </row>
    <row r="158" spans="1:14" s="1" customFormat="1" x14ac:dyDescent="0.25">
      <c r="A158" s="8" t="s">
        <v>721</v>
      </c>
      <c r="B158" s="8" t="s">
        <v>141</v>
      </c>
      <c r="C158" s="8" t="s">
        <v>806</v>
      </c>
      <c r="D158" s="8" t="s">
        <v>806</v>
      </c>
      <c r="E158" s="8" t="s">
        <v>807</v>
      </c>
      <c r="F158" s="8" t="s">
        <v>116</v>
      </c>
      <c r="G158" s="8" t="s">
        <v>808</v>
      </c>
      <c r="H158" s="8" t="s">
        <v>727</v>
      </c>
      <c r="I158" s="8" t="s">
        <v>733</v>
      </c>
      <c r="J158" s="8" t="s">
        <v>808</v>
      </c>
      <c r="K158" s="8" t="s">
        <v>791</v>
      </c>
      <c r="L158" s="8" t="s">
        <v>51</v>
      </c>
      <c r="M158" s="8" t="s">
        <v>119</v>
      </c>
      <c r="N158" s="8" t="s">
        <v>809</v>
      </c>
    </row>
    <row r="159" spans="1:14" s="1" customFormat="1" x14ac:dyDescent="0.25">
      <c r="A159" s="8" t="s">
        <v>721</v>
      </c>
      <c r="B159" s="8" t="s">
        <v>141</v>
      </c>
      <c r="C159" s="8" t="s">
        <v>810</v>
      </c>
      <c r="D159" s="8" t="s">
        <v>810</v>
      </c>
      <c r="E159" s="8" t="s">
        <v>811</v>
      </c>
      <c r="F159" s="8" t="s">
        <v>116</v>
      </c>
      <c r="G159" s="8" t="s">
        <v>812</v>
      </c>
      <c r="H159" s="8" t="s">
        <v>727</v>
      </c>
      <c r="I159" s="8" t="s">
        <v>740</v>
      </c>
      <c r="J159" s="8" t="s">
        <v>813</v>
      </c>
      <c r="K159" s="8" t="s">
        <v>791</v>
      </c>
      <c r="L159" s="8" t="s">
        <v>51</v>
      </c>
      <c r="M159" s="8" t="s">
        <v>119</v>
      </c>
      <c r="N159" s="8" t="s">
        <v>814</v>
      </c>
    </row>
    <row r="160" spans="1:14" s="1" customFormat="1" x14ac:dyDescent="0.25">
      <c r="A160" s="8" t="s">
        <v>815</v>
      </c>
      <c r="B160" s="8" t="s">
        <v>43</v>
      </c>
      <c r="C160" s="8" t="s">
        <v>816</v>
      </c>
      <c r="D160" s="8" t="s">
        <v>816</v>
      </c>
      <c r="E160" s="8" t="s">
        <v>817</v>
      </c>
      <c r="F160" s="8" t="s">
        <v>206</v>
      </c>
      <c r="G160" s="8" t="s">
        <v>818</v>
      </c>
      <c r="H160" s="8" t="s">
        <v>442</v>
      </c>
      <c r="I160" s="8" t="s">
        <v>818</v>
      </c>
      <c r="J160" s="8" t="s">
        <v>818</v>
      </c>
      <c r="K160" s="8" t="s">
        <v>819</v>
      </c>
      <c r="L160" s="8" t="s">
        <v>51</v>
      </c>
      <c r="M160" s="8" t="s">
        <v>82</v>
      </c>
      <c r="N160" s="8" t="s">
        <v>820</v>
      </c>
    </row>
    <row r="161" spans="1:14" s="1" customFormat="1" x14ac:dyDescent="0.25">
      <c r="A161" s="8" t="s">
        <v>815</v>
      </c>
      <c r="B161" s="8" t="s">
        <v>43</v>
      </c>
      <c r="C161" s="8" t="s">
        <v>821</v>
      </c>
      <c r="D161" s="8" t="s">
        <v>821</v>
      </c>
      <c r="E161" s="8" t="s">
        <v>822</v>
      </c>
      <c r="F161" s="8" t="s">
        <v>100</v>
      </c>
      <c r="G161" s="8" t="s">
        <v>823</v>
      </c>
      <c r="H161" s="8" t="s">
        <v>442</v>
      </c>
      <c r="I161" s="8" t="s">
        <v>823</v>
      </c>
      <c r="J161" s="8" t="s">
        <v>823</v>
      </c>
      <c r="K161" s="8" t="s">
        <v>824</v>
      </c>
      <c r="L161" s="8" t="s">
        <v>51</v>
      </c>
      <c r="M161" s="8" t="s">
        <v>104</v>
      </c>
      <c r="N161" s="8" t="s">
        <v>825</v>
      </c>
    </row>
    <row r="162" spans="1:14" s="1" customFormat="1" x14ac:dyDescent="0.25">
      <c r="A162" s="8" t="s">
        <v>815</v>
      </c>
      <c r="B162" s="8" t="s">
        <v>43</v>
      </c>
      <c r="C162" s="8" t="s">
        <v>826</v>
      </c>
      <c r="D162" s="8" t="s">
        <v>826</v>
      </c>
      <c r="E162" s="8" t="s">
        <v>827</v>
      </c>
      <c r="F162" s="8" t="s">
        <v>187</v>
      </c>
      <c r="G162" s="8" t="s">
        <v>828</v>
      </c>
      <c r="H162" s="8" t="s">
        <v>442</v>
      </c>
      <c r="I162" s="8" t="s">
        <v>818</v>
      </c>
      <c r="J162" s="8" t="s">
        <v>828</v>
      </c>
      <c r="K162" s="8" t="s">
        <v>190</v>
      </c>
      <c r="L162" s="8" t="s">
        <v>51</v>
      </c>
      <c r="M162" s="8" t="s">
        <v>119</v>
      </c>
      <c r="N162" s="8" t="s">
        <v>829</v>
      </c>
    </row>
    <row r="163" spans="1:14" s="1" customFormat="1" x14ac:dyDescent="0.25">
      <c r="A163" s="8" t="s">
        <v>830</v>
      </c>
      <c r="B163" s="8" t="s">
        <v>141</v>
      </c>
      <c r="C163" s="8" t="s">
        <v>831</v>
      </c>
      <c r="D163" s="8" t="s">
        <v>831</v>
      </c>
      <c r="E163" s="8" t="s">
        <v>832</v>
      </c>
      <c r="F163" s="8" t="s">
        <v>144</v>
      </c>
      <c r="G163" s="8" t="s">
        <v>833</v>
      </c>
      <c r="H163" s="8" t="s">
        <v>834</v>
      </c>
      <c r="I163" s="8" t="s">
        <v>835</v>
      </c>
      <c r="J163" s="8" t="s">
        <v>833</v>
      </c>
      <c r="K163" s="8" t="s">
        <v>836</v>
      </c>
      <c r="L163" s="8" t="s">
        <v>51</v>
      </c>
      <c r="M163" s="8" t="s">
        <v>210</v>
      </c>
      <c r="N163" s="8" t="s">
        <v>837</v>
      </c>
    </row>
    <row r="164" spans="1:14" s="1" customFormat="1" x14ac:dyDescent="0.25">
      <c r="A164" s="8" t="s">
        <v>830</v>
      </c>
      <c r="B164" s="8" t="s">
        <v>141</v>
      </c>
      <c r="C164" s="8" t="s">
        <v>838</v>
      </c>
      <c r="D164" s="8" t="s">
        <v>838</v>
      </c>
      <c r="E164" s="8" t="s">
        <v>839</v>
      </c>
      <c r="F164" s="8" t="s">
        <v>76</v>
      </c>
      <c r="G164" s="8" t="s">
        <v>840</v>
      </c>
      <c r="H164" s="8" t="s">
        <v>834</v>
      </c>
      <c r="I164" s="8" t="s">
        <v>840</v>
      </c>
      <c r="J164" s="8" t="s">
        <v>840</v>
      </c>
      <c r="K164" s="8" t="s">
        <v>836</v>
      </c>
      <c r="L164" s="8" t="s">
        <v>51</v>
      </c>
      <c r="M164" s="8" t="s">
        <v>70</v>
      </c>
      <c r="N164" s="8" t="s">
        <v>841</v>
      </c>
    </row>
    <row r="165" spans="1:14" s="1" customFormat="1" x14ac:dyDescent="0.25">
      <c r="A165" s="8" t="s">
        <v>830</v>
      </c>
      <c r="B165" s="8" t="s">
        <v>141</v>
      </c>
      <c r="C165" s="8" t="s">
        <v>842</v>
      </c>
      <c r="D165" s="8" t="s">
        <v>842</v>
      </c>
      <c r="E165" s="8" t="s">
        <v>843</v>
      </c>
      <c r="F165" s="8" t="s">
        <v>158</v>
      </c>
      <c r="G165" s="8" t="s">
        <v>844</v>
      </c>
      <c r="H165" s="8" t="s">
        <v>834</v>
      </c>
      <c r="I165" s="8" t="s">
        <v>844</v>
      </c>
      <c r="J165" s="8" t="s">
        <v>844</v>
      </c>
      <c r="K165" s="8" t="s">
        <v>845</v>
      </c>
      <c r="L165" s="8" t="s">
        <v>51</v>
      </c>
      <c r="M165" s="8" t="s">
        <v>104</v>
      </c>
      <c r="N165" s="8" t="s">
        <v>846</v>
      </c>
    </row>
    <row r="166" spans="1:14" s="1" customFormat="1" x14ac:dyDescent="0.25">
      <c r="A166" s="8" t="s">
        <v>830</v>
      </c>
      <c r="B166" s="8" t="s">
        <v>141</v>
      </c>
      <c r="C166" s="8" t="s">
        <v>847</v>
      </c>
      <c r="D166" s="8" t="s">
        <v>847</v>
      </c>
      <c r="E166" s="8" t="s">
        <v>848</v>
      </c>
      <c r="F166" s="8" t="s">
        <v>158</v>
      </c>
      <c r="G166" s="8" t="s">
        <v>833</v>
      </c>
      <c r="H166" s="8" t="s">
        <v>834</v>
      </c>
      <c r="I166" s="8" t="s">
        <v>835</v>
      </c>
      <c r="J166" s="8" t="s">
        <v>833</v>
      </c>
      <c r="K166" s="8" t="s">
        <v>849</v>
      </c>
      <c r="L166" s="8" t="s">
        <v>51</v>
      </c>
      <c r="M166" s="8" t="s">
        <v>104</v>
      </c>
      <c r="N166" s="8" t="s">
        <v>850</v>
      </c>
    </row>
    <row r="167" spans="1:14" s="1" customFormat="1" x14ac:dyDescent="0.25">
      <c r="A167" s="8" t="s">
        <v>830</v>
      </c>
      <c r="B167" s="8" t="s">
        <v>141</v>
      </c>
      <c r="C167" s="8" t="s">
        <v>851</v>
      </c>
      <c r="D167" s="8" t="s">
        <v>851</v>
      </c>
      <c r="E167" s="8" t="s">
        <v>852</v>
      </c>
      <c r="F167" s="8" t="s">
        <v>288</v>
      </c>
      <c r="G167" s="8" t="s">
        <v>853</v>
      </c>
      <c r="H167" s="8" t="s">
        <v>834</v>
      </c>
      <c r="I167" s="8" t="s">
        <v>835</v>
      </c>
      <c r="J167" s="8" t="s">
        <v>833</v>
      </c>
      <c r="K167" s="8" t="s">
        <v>854</v>
      </c>
      <c r="L167" s="8" t="s">
        <v>51</v>
      </c>
      <c r="M167" s="8" t="s">
        <v>119</v>
      </c>
      <c r="N167" s="8" t="s">
        <v>855</v>
      </c>
    </row>
    <row r="168" spans="1:14" s="1" customFormat="1" x14ac:dyDescent="0.25">
      <c r="A168" s="8" t="s">
        <v>830</v>
      </c>
      <c r="B168" s="8" t="s">
        <v>141</v>
      </c>
      <c r="C168" s="8" t="s">
        <v>856</v>
      </c>
      <c r="D168" s="8" t="s">
        <v>857</v>
      </c>
      <c r="E168" s="8" t="s">
        <v>858</v>
      </c>
      <c r="F168" s="8" t="s">
        <v>164</v>
      </c>
      <c r="G168" s="8" t="s">
        <v>859</v>
      </c>
      <c r="H168" s="8" t="s">
        <v>834</v>
      </c>
      <c r="I168" s="8" t="s">
        <v>860</v>
      </c>
      <c r="J168" s="8" t="s">
        <v>859</v>
      </c>
      <c r="K168" s="8" t="s">
        <v>861</v>
      </c>
      <c r="L168" s="8" t="s">
        <v>51</v>
      </c>
      <c r="M168" s="8" t="s">
        <v>104</v>
      </c>
      <c r="N168" s="8" t="s">
        <v>862</v>
      </c>
    </row>
    <row r="169" spans="1:14" s="1" customFormat="1" x14ac:dyDescent="0.25">
      <c r="A169" s="8" t="s">
        <v>830</v>
      </c>
      <c r="B169" s="8" t="s">
        <v>141</v>
      </c>
      <c r="C169" s="8" t="s">
        <v>863</v>
      </c>
      <c r="D169" s="8" t="s">
        <v>863</v>
      </c>
      <c r="E169" s="8" t="s">
        <v>864</v>
      </c>
      <c r="F169" s="8" t="s">
        <v>100</v>
      </c>
      <c r="G169" s="8" t="s">
        <v>865</v>
      </c>
      <c r="H169" s="8" t="s">
        <v>834</v>
      </c>
      <c r="I169" s="8" t="s">
        <v>835</v>
      </c>
      <c r="J169" s="8" t="s">
        <v>865</v>
      </c>
      <c r="K169" s="8" t="s">
        <v>866</v>
      </c>
      <c r="L169" s="8" t="s">
        <v>51</v>
      </c>
      <c r="M169" s="8" t="s">
        <v>104</v>
      </c>
      <c r="N169" s="8" t="s">
        <v>867</v>
      </c>
    </row>
    <row r="170" spans="1:14" s="1" customFormat="1" x14ac:dyDescent="0.25">
      <c r="A170" s="8" t="s">
        <v>830</v>
      </c>
      <c r="B170" s="8" t="s">
        <v>141</v>
      </c>
      <c r="C170" s="8" t="s">
        <v>868</v>
      </c>
      <c r="D170" s="8" t="s">
        <v>868</v>
      </c>
      <c r="E170" s="8" t="s">
        <v>869</v>
      </c>
      <c r="F170" s="8" t="s">
        <v>187</v>
      </c>
      <c r="G170" s="8" t="s">
        <v>870</v>
      </c>
      <c r="H170" s="8" t="s">
        <v>834</v>
      </c>
      <c r="I170" s="8" t="s">
        <v>870</v>
      </c>
      <c r="J170" s="8" t="s">
        <v>870</v>
      </c>
      <c r="K170" s="8" t="s">
        <v>836</v>
      </c>
      <c r="L170" s="8" t="s">
        <v>51</v>
      </c>
      <c r="M170" s="8" t="s">
        <v>104</v>
      </c>
      <c r="N170" s="8" t="s">
        <v>871</v>
      </c>
    </row>
    <row r="171" spans="1:14" s="1" customFormat="1" x14ac:dyDescent="0.25">
      <c r="A171" s="8" t="s">
        <v>830</v>
      </c>
      <c r="B171" s="8" t="s">
        <v>141</v>
      </c>
      <c r="C171" s="8" t="s">
        <v>872</v>
      </c>
      <c r="D171" s="8" t="s">
        <v>873</v>
      </c>
      <c r="E171" s="8" t="s">
        <v>874</v>
      </c>
      <c r="F171" s="8" t="s">
        <v>187</v>
      </c>
      <c r="G171" s="8" t="s">
        <v>875</v>
      </c>
      <c r="H171" s="8" t="s">
        <v>834</v>
      </c>
      <c r="I171" s="8" t="s">
        <v>876</v>
      </c>
      <c r="J171" s="8" t="s">
        <v>877</v>
      </c>
      <c r="K171" s="8" t="s">
        <v>836</v>
      </c>
      <c r="L171" s="8" t="s">
        <v>51</v>
      </c>
      <c r="M171" s="8" t="s">
        <v>119</v>
      </c>
      <c r="N171" s="8" t="s">
        <v>878</v>
      </c>
    </row>
    <row r="172" spans="1:14" s="1" customFormat="1" x14ac:dyDescent="0.25">
      <c r="A172" s="8" t="s">
        <v>830</v>
      </c>
      <c r="B172" s="8" t="s">
        <v>141</v>
      </c>
      <c r="C172" s="8" t="s">
        <v>879</v>
      </c>
      <c r="D172" s="8" t="s">
        <v>879</v>
      </c>
      <c r="E172" s="8" t="s">
        <v>880</v>
      </c>
      <c r="F172" s="8" t="s">
        <v>187</v>
      </c>
      <c r="G172" s="8" t="s">
        <v>881</v>
      </c>
      <c r="H172" s="8" t="s">
        <v>834</v>
      </c>
      <c r="I172" s="8" t="s">
        <v>860</v>
      </c>
      <c r="J172" s="8" t="s">
        <v>882</v>
      </c>
      <c r="K172" s="8" t="s">
        <v>836</v>
      </c>
      <c r="L172" s="8" t="s">
        <v>51</v>
      </c>
      <c r="M172" s="8" t="s">
        <v>119</v>
      </c>
      <c r="N172" s="8" t="s">
        <v>883</v>
      </c>
    </row>
    <row r="173" spans="1:14" s="1" customFormat="1" x14ac:dyDescent="0.25">
      <c r="A173" s="8" t="s">
        <v>830</v>
      </c>
      <c r="B173" s="8" t="s">
        <v>141</v>
      </c>
      <c r="C173" s="8" t="s">
        <v>884</v>
      </c>
      <c r="D173" s="8" t="s">
        <v>884</v>
      </c>
      <c r="E173" s="8" t="s">
        <v>885</v>
      </c>
      <c r="F173" s="8" t="s">
        <v>187</v>
      </c>
      <c r="G173" s="8" t="s">
        <v>886</v>
      </c>
      <c r="H173" s="8" t="s">
        <v>834</v>
      </c>
      <c r="I173" s="8" t="s">
        <v>886</v>
      </c>
      <c r="J173" s="8" t="s">
        <v>886</v>
      </c>
      <c r="K173" s="8" t="s">
        <v>836</v>
      </c>
      <c r="L173" s="8" t="s">
        <v>51</v>
      </c>
      <c r="M173" s="8" t="s">
        <v>119</v>
      </c>
      <c r="N173" s="8" t="s">
        <v>887</v>
      </c>
    </row>
    <row r="174" spans="1:14" s="1" customFormat="1" x14ac:dyDescent="0.25">
      <c r="A174" s="8" t="s">
        <v>830</v>
      </c>
      <c r="B174" s="8" t="s">
        <v>141</v>
      </c>
      <c r="C174" s="8" t="s">
        <v>888</v>
      </c>
      <c r="D174" s="8" t="s">
        <v>888</v>
      </c>
      <c r="E174" s="8" t="s">
        <v>889</v>
      </c>
      <c r="F174" s="8" t="s">
        <v>116</v>
      </c>
      <c r="G174" s="8" t="s">
        <v>890</v>
      </c>
      <c r="H174" s="8" t="s">
        <v>834</v>
      </c>
      <c r="I174" s="8" t="s">
        <v>891</v>
      </c>
      <c r="J174" s="8" t="s">
        <v>890</v>
      </c>
      <c r="K174" s="8" t="s">
        <v>866</v>
      </c>
      <c r="L174" s="8" t="s">
        <v>51</v>
      </c>
      <c r="M174" s="8" t="s">
        <v>119</v>
      </c>
      <c r="N174" s="8" t="s">
        <v>892</v>
      </c>
    </row>
    <row r="175" spans="1:14" s="1" customFormat="1" x14ac:dyDescent="0.25">
      <c r="A175" s="8" t="s">
        <v>893</v>
      </c>
      <c r="B175" s="8" t="s">
        <v>141</v>
      </c>
      <c r="C175" s="8" t="s">
        <v>894</v>
      </c>
      <c r="D175" s="8" t="s">
        <v>894</v>
      </c>
      <c r="E175" s="8" t="s">
        <v>895</v>
      </c>
      <c r="F175" s="8" t="s">
        <v>252</v>
      </c>
      <c r="G175" s="8" t="s">
        <v>896</v>
      </c>
      <c r="H175" s="8" t="s">
        <v>897</v>
      </c>
      <c r="I175" s="8" t="s">
        <v>898</v>
      </c>
      <c r="J175" s="8" t="s">
        <v>899</v>
      </c>
      <c r="K175" s="8" t="s">
        <v>900</v>
      </c>
      <c r="L175" s="8" t="s">
        <v>51</v>
      </c>
      <c r="M175" s="8" t="s">
        <v>256</v>
      </c>
      <c r="N175" s="8" t="s">
        <v>901</v>
      </c>
    </row>
    <row r="176" spans="1:14" s="1" customFormat="1" x14ac:dyDescent="0.25">
      <c r="A176" s="8" t="s">
        <v>893</v>
      </c>
      <c r="B176" s="8" t="s">
        <v>141</v>
      </c>
      <c r="C176" s="8" t="s">
        <v>902</v>
      </c>
      <c r="D176" s="8" t="s">
        <v>902</v>
      </c>
      <c r="E176" s="8" t="s">
        <v>903</v>
      </c>
      <c r="F176" s="8" t="s">
        <v>206</v>
      </c>
      <c r="G176" s="8" t="s">
        <v>904</v>
      </c>
      <c r="H176" s="8" t="s">
        <v>897</v>
      </c>
      <c r="I176" s="8" t="s">
        <v>905</v>
      </c>
      <c r="J176" s="8" t="s">
        <v>906</v>
      </c>
      <c r="K176" s="8" t="s">
        <v>907</v>
      </c>
      <c r="L176" s="8" t="s">
        <v>51</v>
      </c>
      <c r="M176" s="8" t="s">
        <v>82</v>
      </c>
      <c r="N176" s="8" t="s">
        <v>908</v>
      </c>
    </row>
    <row r="177" spans="1:14" s="1" customFormat="1" x14ac:dyDescent="0.25">
      <c r="A177" s="8" t="s">
        <v>893</v>
      </c>
      <c r="B177" s="8" t="s">
        <v>141</v>
      </c>
      <c r="C177" s="8" t="s">
        <v>909</v>
      </c>
      <c r="D177" s="8" t="s">
        <v>909</v>
      </c>
      <c r="E177" s="8" t="s">
        <v>910</v>
      </c>
      <c r="F177" s="8" t="s">
        <v>76</v>
      </c>
      <c r="G177" s="8" t="s">
        <v>911</v>
      </c>
      <c r="H177" s="8" t="s">
        <v>897</v>
      </c>
      <c r="I177" s="8" t="s">
        <v>912</v>
      </c>
      <c r="J177" s="8" t="s">
        <v>912</v>
      </c>
      <c r="K177" s="8" t="s">
        <v>913</v>
      </c>
      <c r="L177" s="8" t="s">
        <v>51</v>
      </c>
      <c r="M177" s="8" t="s">
        <v>82</v>
      </c>
      <c r="N177" s="8" t="s">
        <v>914</v>
      </c>
    </row>
    <row r="178" spans="1:14" s="1" customFormat="1" x14ac:dyDescent="0.25">
      <c r="A178" s="8" t="s">
        <v>893</v>
      </c>
      <c r="B178" s="8" t="s">
        <v>141</v>
      </c>
      <c r="C178" s="8" t="s">
        <v>915</v>
      </c>
      <c r="D178" s="8" t="s">
        <v>915</v>
      </c>
      <c r="E178" s="8" t="s">
        <v>916</v>
      </c>
      <c r="F178" s="8" t="s">
        <v>76</v>
      </c>
      <c r="G178" s="8" t="s">
        <v>917</v>
      </c>
      <c r="H178" s="8" t="s">
        <v>897</v>
      </c>
      <c r="I178" s="8" t="s">
        <v>918</v>
      </c>
      <c r="J178" s="8" t="s">
        <v>918</v>
      </c>
      <c r="K178" s="8" t="s">
        <v>919</v>
      </c>
      <c r="L178" s="8" t="s">
        <v>51</v>
      </c>
      <c r="M178" s="8" t="s">
        <v>154</v>
      </c>
      <c r="N178" s="8" t="s">
        <v>920</v>
      </c>
    </row>
    <row r="179" spans="1:14" s="1" customFormat="1" x14ac:dyDescent="0.25">
      <c r="A179" s="8" t="s">
        <v>893</v>
      </c>
      <c r="B179" s="8" t="s">
        <v>141</v>
      </c>
      <c r="C179" s="8" t="s">
        <v>921</v>
      </c>
      <c r="D179" s="8" t="s">
        <v>921</v>
      </c>
      <c r="E179" s="8" t="s">
        <v>922</v>
      </c>
      <c r="F179" s="8" t="s">
        <v>76</v>
      </c>
      <c r="G179" s="8" t="s">
        <v>923</v>
      </c>
      <c r="H179" s="8" t="s">
        <v>897</v>
      </c>
      <c r="I179" s="8" t="s">
        <v>923</v>
      </c>
      <c r="J179" s="8" t="s">
        <v>923</v>
      </c>
      <c r="K179" s="8" t="s">
        <v>148</v>
      </c>
      <c r="L179" s="8" t="s">
        <v>51</v>
      </c>
      <c r="M179" s="8" t="s">
        <v>154</v>
      </c>
      <c r="N179" s="8" t="s">
        <v>924</v>
      </c>
    </row>
    <row r="180" spans="1:14" s="1" customFormat="1" x14ac:dyDescent="0.25">
      <c r="A180" s="8" t="s">
        <v>893</v>
      </c>
      <c r="B180" s="8" t="s">
        <v>141</v>
      </c>
      <c r="C180" s="8" t="s">
        <v>925</v>
      </c>
      <c r="D180" s="8" t="s">
        <v>925</v>
      </c>
      <c r="E180" s="8" t="s">
        <v>926</v>
      </c>
      <c r="F180" s="8" t="s">
        <v>158</v>
      </c>
      <c r="G180" s="8" t="s">
        <v>927</v>
      </c>
      <c r="H180" s="8" t="s">
        <v>897</v>
      </c>
      <c r="I180" s="8" t="s">
        <v>927</v>
      </c>
      <c r="J180" s="8" t="s">
        <v>927</v>
      </c>
      <c r="K180" s="8" t="s">
        <v>148</v>
      </c>
      <c r="L180" s="8" t="s">
        <v>51</v>
      </c>
      <c r="M180" s="8" t="s">
        <v>104</v>
      </c>
      <c r="N180" s="8" t="s">
        <v>928</v>
      </c>
    </row>
    <row r="181" spans="1:14" s="1" customFormat="1" x14ac:dyDescent="0.25">
      <c r="A181" s="8" t="s">
        <v>893</v>
      </c>
      <c r="B181" s="8" t="s">
        <v>141</v>
      </c>
      <c r="C181" s="8" t="s">
        <v>929</v>
      </c>
      <c r="D181" s="8" t="s">
        <v>930</v>
      </c>
      <c r="E181" s="8" t="s">
        <v>931</v>
      </c>
      <c r="F181" s="8" t="s">
        <v>158</v>
      </c>
      <c r="G181" s="8" t="s">
        <v>932</v>
      </c>
      <c r="H181" s="8" t="s">
        <v>897</v>
      </c>
      <c r="I181" s="8" t="s">
        <v>898</v>
      </c>
      <c r="J181" s="8" t="s">
        <v>899</v>
      </c>
      <c r="K181" s="8" t="s">
        <v>933</v>
      </c>
      <c r="L181" s="8" t="s">
        <v>51</v>
      </c>
      <c r="M181" s="8" t="s">
        <v>154</v>
      </c>
      <c r="N181" s="8" t="s">
        <v>934</v>
      </c>
    </row>
    <row r="182" spans="1:14" s="1" customFormat="1" x14ac:dyDescent="0.25">
      <c r="A182" s="8" t="s">
        <v>893</v>
      </c>
      <c r="B182" s="8" t="s">
        <v>141</v>
      </c>
      <c r="C182" s="8" t="s">
        <v>935</v>
      </c>
      <c r="D182" s="8" t="s">
        <v>935</v>
      </c>
      <c r="E182" s="8" t="s">
        <v>936</v>
      </c>
      <c r="F182" s="8" t="s">
        <v>288</v>
      </c>
      <c r="G182" s="8" t="s">
        <v>937</v>
      </c>
      <c r="H182" s="8" t="s">
        <v>897</v>
      </c>
      <c r="I182" s="8" t="s">
        <v>898</v>
      </c>
      <c r="J182" s="8" t="s">
        <v>898</v>
      </c>
      <c r="K182" s="8" t="s">
        <v>938</v>
      </c>
      <c r="L182" s="8" t="s">
        <v>51</v>
      </c>
      <c r="M182" s="8" t="s">
        <v>104</v>
      </c>
      <c r="N182" s="8" t="s">
        <v>939</v>
      </c>
    </row>
    <row r="183" spans="1:14" s="1" customFormat="1" x14ac:dyDescent="0.25">
      <c r="A183" s="8" t="s">
        <v>893</v>
      </c>
      <c r="B183" s="8" t="s">
        <v>141</v>
      </c>
      <c r="C183" s="8" t="s">
        <v>940</v>
      </c>
      <c r="D183" s="8" t="s">
        <v>941</v>
      </c>
      <c r="E183" s="8" t="s">
        <v>942</v>
      </c>
      <c r="F183" s="8" t="s">
        <v>164</v>
      </c>
      <c r="G183" s="8" t="s">
        <v>943</v>
      </c>
      <c r="H183" s="8" t="s">
        <v>897</v>
      </c>
      <c r="I183" s="8" t="s">
        <v>943</v>
      </c>
      <c r="J183" s="8" t="s">
        <v>943</v>
      </c>
      <c r="K183" s="8" t="s">
        <v>148</v>
      </c>
      <c r="L183" s="8" t="s">
        <v>51</v>
      </c>
      <c r="M183" s="8" t="s">
        <v>119</v>
      </c>
      <c r="N183" s="8" t="s">
        <v>944</v>
      </c>
    </row>
    <row r="184" spans="1:14" s="1" customFormat="1" x14ac:dyDescent="0.25">
      <c r="A184" s="8" t="s">
        <v>893</v>
      </c>
      <c r="B184" s="8" t="s">
        <v>141</v>
      </c>
      <c r="C184" s="8" t="s">
        <v>945</v>
      </c>
      <c r="D184" s="8" t="s">
        <v>945</v>
      </c>
      <c r="E184" s="8" t="s">
        <v>946</v>
      </c>
      <c r="F184" s="8" t="s">
        <v>100</v>
      </c>
      <c r="G184" s="8" t="s">
        <v>947</v>
      </c>
      <c r="H184" s="8" t="s">
        <v>897</v>
      </c>
      <c r="I184" s="8" t="s">
        <v>898</v>
      </c>
      <c r="J184" s="8" t="s">
        <v>947</v>
      </c>
      <c r="K184" s="8" t="s">
        <v>948</v>
      </c>
      <c r="L184" s="8" t="s">
        <v>51</v>
      </c>
      <c r="M184" s="8" t="s">
        <v>104</v>
      </c>
      <c r="N184" s="8" t="s">
        <v>949</v>
      </c>
    </row>
    <row r="185" spans="1:14" s="1" customFormat="1" x14ac:dyDescent="0.25">
      <c r="A185" s="8" t="s">
        <v>893</v>
      </c>
      <c r="B185" s="8" t="s">
        <v>141</v>
      </c>
      <c r="C185" s="8" t="s">
        <v>950</v>
      </c>
      <c r="D185" s="8" t="s">
        <v>951</v>
      </c>
      <c r="E185" s="8" t="s">
        <v>952</v>
      </c>
      <c r="F185" s="8" t="s">
        <v>100</v>
      </c>
      <c r="G185" s="8" t="s">
        <v>953</v>
      </c>
      <c r="H185" s="8" t="s">
        <v>897</v>
      </c>
      <c r="I185" s="8" t="s">
        <v>953</v>
      </c>
      <c r="J185" s="8" t="s">
        <v>953</v>
      </c>
      <c r="K185" s="8" t="s">
        <v>954</v>
      </c>
      <c r="L185" s="8" t="s">
        <v>51</v>
      </c>
      <c r="M185" s="8" t="s">
        <v>104</v>
      </c>
      <c r="N185" s="8" t="s">
        <v>955</v>
      </c>
    </row>
    <row r="186" spans="1:14" s="1" customFormat="1" x14ac:dyDescent="0.25">
      <c r="A186" s="8" t="s">
        <v>893</v>
      </c>
      <c r="B186" s="8" t="s">
        <v>141</v>
      </c>
      <c r="C186" s="8" t="s">
        <v>941</v>
      </c>
      <c r="D186" s="8" t="s">
        <v>940</v>
      </c>
      <c r="E186" s="8" t="s">
        <v>956</v>
      </c>
      <c r="F186" s="8" t="s">
        <v>100</v>
      </c>
      <c r="G186" s="8" t="s">
        <v>897</v>
      </c>
      <c r="H186" s="8" t="s">
        <v>897</v>
      </c>
      <c r="I186" s="8" t="s">
        <v>897</v>
      </c>
      <c r="J186" s="8" t="s">
        <v>897</v>
      </c>
      <c r="K186" s="8" t="s">
        <v>957</v>
      </c>
      <c r="L186" s="8" t="s">
        <v>51</v>
      </c>
      <c r="M186" s="8" t="s">
        <v>119</v>
      </c>
      <c r="N186" s="8" t="s">
        <v>958</v>
      </c>
    </row>
    <row r="187" spans="1:14" s="1" customFormat="1" x14ac:dyDescent="0.25">
      <c r="A187" s="8" t="s">
        <v>893</v>
      </c>
      <c r="B187" s="8" t="s">
        <v>141</v>
      </c>
      <c r="C187" s="8" t="s">
        <v>959</v>
      </c>
      <c r="D187" s="8" t="s">
        <v>959</v>
      </c>
      <c r="E187" s="8" t="s">
        <v>960</v>
      </c>
      <c r="F187" s="8" t="s">
        <v>100</v>
      </c>
      <c r="G187" s="8" t="s">
        <v>961</v>
      </c>
      <c r="H187" s="8" t="s">
        <v>897</v>
      </c>
      <c r="I187" s="8" t="s">
        <v>905</v>
      </c>
      <c r="J187" s="8" t="s">
        <v>961</v>
      </c>
      <c r="K187" s="8" t="s">
        <v>962</v>
      </c>
      <c r="L187" s="8" t="s">
        <v>51</v>
      </c>
      <c r="M187" s="8" t="s">
        <v>119</v>
      </c>
      <c r="N187" s="8" t="s">
        <v>963</v>
      </c>
    </row>
    <row r="188" spans="1:14" s="1" customFormat="1" x14ac:dyDescent="0.25">
      <c r="A188" s="8" t="s">
        <v>893</v>
      </c>
      <c r="B188" s="8" t="s">
        <v>141</v>
      </c>
      <c r="C188" s="8" t="s">
        <v>964</v>
      </c>
      <c r="D188" s="8" t="s">
        <v>964</v>
      </c>
      <c r="E188" s="8" t="s">
        <v>965</v>
      </c>
      <c r="F188" s="8" t="s">
        <v>187</v>
      </c>
      <c r="G188" s="8" t="s">
        <v>966</v>
      </c>
      <c r="H188" s="8" t="s">
        <v>897</v>
      </c>
      <c r="I188" s="8" t="s">
        <v>905</v>
      </c>
      <c r="J188" s="8" t="s">
        <v>967</v>
      </c>
      <c r="K188" s="8" t="s">
        <v>190</v>
      </c>
      <c r="L188" s="8" t="s">
        <v>51</v>
      </c>
      <c r="M188" s="8" t="s">
        <v>119</v>
      </c>
      <c r="N188" s="8" t="s">
        <v>968</v>
      </c>
    </row>
    <row r="189" spans="1:14" s="1" customFormat="1" x14ac:dyDescent="0.25">
      <c r="A189" s="8" t="s">
        <v>893</v>
      </c>
      <c r="B189" s="8" t="s">
        <v>141</v>
      </c>
      <c r="C189" s="8" t="s">
        <v>969</v>
      </c>
      <c r="D189" s="8" t="s">
        <v>969</v>
      </c>
      <c r="E189" s="8" t="s">
        <v>970</v>
      </c>
      <c r="F189" s="8" t="s">
        <v>187</v>
      </c>
      <c r="G189" s="8" t="s">
        <v>971</v>
      </c>
      <c r="H189" s="8" t="s">
        <v>585</v>
      </c>
      <c r="I189" s="8" t="s">
        <v>610</v>
      </c>
      <c r="J189" s="8" t="s">
        <v>972</v>
      </c>
      <c r="K189" s="8" t="s">
        <v>190</v>
      </c>
      <c r="L189" s="8" t="s">
        <v>51</v>
      </c>
      <c r="M189" s="8" t="s">
        <v>119</v>
      </c>
      <c r="N189" s="8" t="s">
        <v>973</v>
      </c>
    </row>
    <row r="190" spans="1:14" s="1" customFormat="1" x14ac:dyDescent="0.25">
      <c r="A190" s="8" t="s">
        <v>893</v>
      </c>
      <c r="B190" s="8" t="s">
        <v>141</v>
      </c>
      <c r="C190" s="8" t="s">
        <v>974</v>
      </c>
      <c r="D190" s="8" t="s">
        <v>974</v>
      </c>
      <c r="E190" s="8" t="s">
        <v>975</v>
      </c>
      <c r="F190" s="8" t="s">
        <v>187</v>
      </c>
      <c r="G190" s="8" t="s">
        <v>976</v>
      </c>
      <c r="H190" s="8" t="s">
        <v>897</v>
      </c>
      <c r="I190" s="8" t="s">
        <v>905</v>
      </c>
      <c r="J190" s="8" t="s">
        <v>977</v>
      </c>
      <c r="K190" s="8" t="s">
        <v>190</v>
      </c>
      <c r="L190" s="8" t="s">
        <v>51</v>
      </c>
      <c r="M190" s="8" t="s">
        <v>119</v>
      </c>
      <c r="N190" s="8" t="s">
        <v>978</v>
      </c>
    </row>
    <row r="191" spans="1:14" s="1" customFormat="1" x14ac:dyDescent="0.25">
      <c r="A191" s="8" t="s">
        <v>893</v>
      </c>
      <c r="B191" s="8" t="s">
        <v>141</v>
      </c>
      <c r="C191" s="8" t="s">
        <v>979</v>
      </c>
      <c r="D191" s="8" t="s">
        <v>979</v>
      </c>
      <c r="E191" s="8" t="s">
        <v>980</v>
      </c>
      <c r="F191" s="8" t="s">
        <v>187</v>
      </c>
      <c r="G191" s="8" t="s">
        <v>981</v>
      </c>
      <c r="H191" s="8" t="s">
        <v>897</v>
      </c>
      <c r="I191" s="8" t="s">
        <v>905</v>
      </c>
      <c r="J191" s="8" t="s">
        <v>905</v>
      </c>
      <c r="K191" s="8" t="s">
        <v>190</v>
      </c>
      <c r="L191" s="8" t="s">
        <v>51</v>
      </c>
      <c r="M191" s="8" t="s">
        <v>119</v>
      </c>
      <c r="N191" s="8" t="s">
        <v>982</v>
      </c>
    </row>
    <row r="192" spans="1:14" s="1" customFormat="1" x14ac:dyDescent="0.25">
      <c r="A192" s="8" t="s">
        <v>893</v>
      </c>
      <c r="B192" s="8" t="s">
        <v>141</v>
      </c>
      <c r="C192" s="8" t="s">
        <v>983</v>
      </c>
      <c r="D192" s="8" t="s">
        <v>983</v>
      </c>
      <c r="E192" s="8" t="s">
        <v>984</v>
      </c>
      <c r="F192" s="8" t="s">
        <v>187</v>
      </c>
      <c r="G192" s="8" t="s">
        <v>985</v>
      </c>
      <c r="H192" s="8" t="s">
        <v>897</v>
      </c>
      <c r="I192" s="8" t="s">
        <v>927</v>
      </c>
      <c r="J192" s="8" t="s">
        <v>986</v>
      </c>
      <c r="K192" s="8" t="s">
        <v>190</v>
      </c>
      <c r="L192" s="8" t="s">
        <v>51</v>
      </c>
      <c r="M192" s="8" t="s">
        <v>119</v>
      </c>
      <c r="N192" s="8" t="s">
        <v>987</v>
      </c>
    </row>
    <row r="193" spans="1:14" s="1" customFormat="1" x14ac:dyDescent="0.25">
      <c r="A193" s="8" t="s">
        <v>893</v>
      </c>
      <c r="B193" s="8" t="s">
        <v>141</v>
      </c>
      <c r="C193" s="8" t="s">
        <v>988</v>
      </c>
      <c r="D193" s="8" t="s">
        <v>988</v>
      </c>
      <c r="E193" s="8" t="s">
        <v>989</v>
      </c>
      <c r="F193" s="8" t="s">
        <v>187</v>
      </c>
      <c r="G193" s="8" t="s">
        <v>990</v>
      </c>
      <c r="H193" s="8" t="s">
        <v>897</v>
      </c>
      <c r="I193" s="8" t="s">
        <v>905</v>
      </c>
      <c r="J193" s="8" t="s">
        <v>905</v>
      </c>
      <c r="K193" s="8" t="s">
        <v>190</v>
      </c>
      <c r="L193" s="8" t="s">
        <v>51</v>
      </c>
      <c r="M193" s="8" t="s">
        <v>119</v>
      </c>
      <c r="N193" s="8" t="s">
        <v>991</v>
      </c>
    </row>
    <row r="194" spans="1:14" s="1" customFormat="1" x14ac:dyDescent="0.25">
      <c r="A194" s="8" t="s">
        <v>893</v>
      </c>
      <c r="B194" s="8" t="s">
        <v>141</v>
      </c>
      <c r="C194" s="8" t="s">
        <v>992</v>
      </c>
      <c r="D194" s="8" t="s">
        <v>992</v>
      </c>
      <c r="E194" s="8" t="s">
        <v>993</v>
      </c>
      <c r="F194" s="8" t="s">
        <v>187</v>
      </c>
      <c r="G194" s="8" t="s">
        <v>994</v>
      </c>
      <c r="H194" s="8" t="s">
        <v>897</v>
      </c>
      <c r="I194" s="8" t="s">
        <v>923</v>
      </c>
      <c r="J194" s="8" t="s">
        <v>994</v>
      </c>
      <c r="K194" s="8" t="s">
        <v>190</v>
      </c>
      <c r="L194" s="8" t="s">
        <v>51</v>
      </c>
      <c r="M194" s="8" t="s">
        <v>119</v>
      </c>
      <c r="N194" s="8" t="s">
        <v>995</v>
      </c>
    </row>
    <row r="195" spans="1:14" s="1" customFormat="1" x14ac:dyDescent="0.25">
      <c r="A195" s="8" t="s">
        <v>893</v>
      </c>
      <c r="B195" s="8" t="s">
        <v>141</v>
      </c>
      <c r="C195" s="8" t="s">
        <v>996</v>
      </c>
      <c r="D195" s="8" t="s">
        <v>996</v>
      </c>
      <c r="E195" s="8" t="s">
        <v>997</v>
      </c>
      <c r="F195" s="8" t="s">
        <v>187</v>
      </c>
      <c r="G195" s="8" t="s">
        <v>998</v>
      </c>
      <c r="H195" s="8" t="s">
        <v>48</v>
      </c>
      <c r="I195" s="8" t="s">
        <v>999</v>
      </c>
      <c r="J195" s="8" t="s">
        <v>1000</v>
      </c>
      <c r="K195" s="8" t="s">
        <v>190</v>
      </c>
      <c r="L195" s="8" t="s">
        <v>51</v>
      </c>
      <c r="M195" s="8" t="s">
        <v>119</v>
      </c>
      <c r="N195" s="8" t="s">
        <v>1001</v>
      </c>
    </row>
    <row r="196" spans="1:14" s="1" customFormat="1" x14ac:dyDescent="0.25">
      <c r="A196" s="8" t="s">
        <v>893</v>
      </c>
      <c r="B196" s="8" t="s">
        <v>141</v>
      </c>
      <c r="C196" s="8" t="s">
        <v>1002</v>
      </c>
      <c r="D196" s="8" t="s">
        <v>1002</v>
      </c>
      <c r="E196" s="8" t="s">
        <v>1003</v>
      </c>
      <c r="F196" s="8" t="s">
        <v>116</v>
      </c>
      <c r="G196" s="8" t="s">
        <v>1004</v>
      </c>
      <c r="H196" s="8" t="s">
        <v>897</v>
      </c>
      <c r="I196" s="8" t="s">
        <v>912</v>
      </c>
      <c r="J196" s="8" t="s">
        <v>1004</v>
      </c>
      <c r="K196" s="8" t="s">
        <v>1005</v>
      </c>
      <c r="L196" s="8" t="s">
        <v>51</v>
      </c>
      <c r="M196" s="8" t="s">
        <v>119</v>
      </c>
      <c r="N196" s="8" t="s">
        <v>1006</v>
      </c>
    </row>
    <row r="197" spans="1:14" s="1" customFormat="1" x14ac:dyDescent="0.25">
      <c r="A197" s="8" t="s">
        <v>1007</v>
      </c>
      <c r="B197" s="8" t="s">
        <v>249</v>
      </c>
      <c r="C197" s="8" t="s">
        <v>1008</v>
      </c>
      <c r="D197" s="8" t="s">
        <v>1008</v>
      </c>
      <c r="E197" s="8" t="s">
        <v>1009</v>
      </c>
      <c r="F197" s="8" t="s">
        <v>252</v>
      </c>
      <c r="G197" s="8" t="s">
        <v>1010</v>
      </c>
      <c r="H197" s="8" t="s">
        <v>465</v>
      </c>
      <c r="I197" s="8" t="s">
        <v>1011</v>
      </c>
      <c r="J197" s="8" t="s">
        <v>1012</v>
      </c>
      <c r="K197" s="8" t="s">
        <v>1013</v>
      </c>
      <c r="L197" s="8" t="s">
        <v>51</v>
      </c>
      <c r="M197" s="8" t="s">
        <v>60</v>
      </c>
      <c r="N197" s="8" t="s">
        <v>1014</v>
      </c>
    </row>
    <row r="198" spans="1:14" s="1" customFormat="1" x14ac:dyDescent="0.25">
      <c r="A198" s="8" t="s">
        <v>1007</v>
      </c>
      <c r="B198" s="8" t="s">
        <v>249</v>
      </c>
      <c r="C198" s="8" t="s">
        <v>1015</v>
      </c>
      <c r="D198" s="8" t="s">
        <v>1015</v>
      </c>
      <c r="E198" s="8" t="s">
        <v>1016</v>
      </c>
      <c r="F198" s="8" t="s">
        <v>725</v>
      </c>
      <c r="G198" s="8" t="s">
        <v>1017</v>
      </c>
      <c r="H198" s="8" t="s">
        <v>465</v>
      </c>
      <c r="I198" s="8" t="s">
        <v>1011</v>
      </c>
      <c r="J198" s="8" t="s">
        <v>1011</v>
      </c>
      <c r="K198" s="8" t="s">
        <v>1018</v>
      </c>
      <c r="L198" s="8" t="s">
        <v>51</v>
      </c>
      <c r="M198" s="8" t="s">
        <v>256</v>
      </c>
      <c r="N198" s="8" t="s">
        <v>1019</v>
      </c>
    </row>
    <row r="199" spans="1:14" s="1" customFormat="1" x14ac:dyDescent="0.25">
      <c r="A199" s="8" t="s">
        <v>1007</v>
      </c>
      <c r="B199" s="8" t="s">
        <v>249</v>
      </c>
      <c r="C199" s="8" t="s">
        <v>1020</v>
      </c>
      <c r="D199" s="8" t="s">
        <v>1020</v>
      </c>
      <c r="E199" s="8" t="s">
        <v>1021</v>
      </c>
      <c r="F199" s="8" t="s">
        <v>206</v>
      </c>
      <c r="G199" s="8" t="s">
        <v>1022</v>
      </c>
      <c r="H199" s="8" t="s">
        <v>465</v>
      </c>
      <c r="I199" s="8" t="s">
        <v>1023</v>
      </c>
      <c r="J199" s="8" t="s">
        <v>1022</v>
      </c>
      <c r="K199" s="8" t="s">
        <v>148</v>
      </c>
      <c r="L199" s="8" t="s">
        <v>51</v>
      </c>
      <c r="M199" s="8" t="s">
        <v>210</v>
      </c>
      <c r="N199" s="8" t="s">
        <v>1024</v>
      </c>
    </row>
    <row r="200" spans="1:14" s="1" customFormat="1" x14ac:dyDescent="0.25">
      <c r="A200" s="8" t="s">
        <v>1007</v>
      </c>
      <c r="B200" s="8" t="s">
        <v>249</v>
      </c>
      <c r="C200" s="8" t="s">
        <v>1025</v>
      </c>
      <c r="D200" s="8" t="s">
        <v>1025</v>
      </c>
      <c r="E200" s="8" t="s">
        <v>1026</v>
      </c>
      <c r="F200" s="8" t="s">
        <v>76</v>
      </c>
      <c r="G200" s="8" t="s">
        <v>1027</v>
      </c>
      <c r="H200" s="8" t="s">
        <v>465</v>
      </c>
      <c r="I200" s="8" t="s">
        <v>1011</v>
      </c>
      <c r="J200" s="8" t="s">
        <v>1011</v>
      </c>
      <c r="K200" s="8" t="s">
        <v>1028</v>
      </c>
      <c r="L200" s="8" t="s">
        <v>51</v>
      </c>
      <c r="M200" s="8" t="s">
        <v>82</v>
      </c>
      <c r="N200" s="8" t="s">
        <v>1029</v>
      </c>
    </row>
    <row r="201" spans="1:14" s="1" customFormat="1" x14ac:dyDescent="0.25">
      <c r="A201" s="8" t="s">
        <v>1007</v>
      </c>
      <c r="B201" s="8" t="s">
        <v>249</v>
      </c>
      <c r="C201" s="8" t="s">
        <v>1030</v>
      </c>
      <c r="D201" s="8" t="s">
        <v>1030</v>
      </c>
      <c r="E201" s="8" t="s">
        <v>1031</v>
      </c>
      <c r="F201" s="8" t="s">
        <v>76</v>
      </c>
      <c r="G201" s="8" t="s">
        <v>1032</v>
      </c>
      <c r="H201" s="8" t="s">
        <v>465</v>
      </c>
      <c r="I201" s="8" t="s">
        <v>1011</v>
      </c>
      <c r="J201" s="8" t="s">
        <v>1032</v>
      </c>
      <c r="K201" s="8" t="s">
        <v>1033</v>
      </c>
      <c r="L201" s="8" t="s">
        <v>51</v>
      </c>
      <c r="M201" s="8" t="s">
        <v>70</v>
      </c>
      <c r="N201" s="8" t="s">
        <v>1034</v>
      </c>
    </row>
    <row r="202" spans="1:14" s="1" customFormat="1" x14ac:dyDescent="0.25">
      <c r="A202" s="8" t="s">
        <v>1007</v>
      </c>
      <c r="B202" s="8" t="s">
        <v>249</v>
      </c>
      <c r="C202" s="8" t="s">
        <v>1035</v>
      </c>
      <c r="D202" s="8" t="s">
        <v>1035</v>
      </c>
      <c r="E202" s="8" t="s">
        <v>1036</v>
      </c>
      <c r="F202" s="8" t="s">
        <v>76</v>
      </c>
      <c r="G202" s="8" t="s">
        <v>1012</v>
      </c>
      <c r="H202" s="8" t="s">
        <v>465</v>
      </c>
      <c r="I202" s="8" t="s">
        <v>1011</v>
      </c>
      <c r="J202" s="8" t="s">
        <v>1012</v>
      </c>
      <c r="K202" s="8" t="s">
        <v>1037</v>
      </c>
      <c r="L202" s="8" t="s">
        <v>51</v>
      </c>
      <c r="M202" s="8" t="s">
        <v>82</v>
      </c>
      <c r="N202" s="8" t="s">
        <v>1038</v>
      </c>
    </row>
    <row r="203" spans="1:14" s="1" customFormat="1" x14ac:dyDescent="0.25">
      <c r="A203" s="8" t="s">
        <v>1007</v>
      </c>
      <c r="B203" s="8" t="s">
        <v>249</v>
      </c>
      <c r="C203" s="8" t="s">
        <v>1039</v>
      </c>
      <c r="D203" s="8" t="s">
        <v>1039</v>
      </c>
      <c r="E203" s="8" t="s">
        <v>1040</v>
      </c>
      <c r="F203" s="8" t="s">
        <v>76</v>
      </c>
      <c r="G203" s="8" t="s">
        <v>1041</v>
      </c>
      <c r="H203" s="8" t="s">
        <v>465</v>
      </c>
      <c r="I203" s="8" t="s">
        <v>1011</v>
      </c>
      <c r="J203" s="8" t="s">
        <v>1041</v>
      </c>
      <c r="K203" s="8" t="s">
        <v>1042</v>
      </c>
      <c r="L203" s="8" t="s">
        <v>51</v>
      </c>
      <c r="M203" s="8" t="s">
        <v>154</v>
      </c>
      <c r="N203" s="8" t="s">
        <v>1043</v>
      </c>
    </row>
    <row r="204" spans="1:14" s="1" customFormat="1" x14ac:dyDescent="0.25">
      <c r="A204" s="8" t="s">
        <v>1007</v>
      </c>
      <c r="B204" s="8" t="s">
        <v>249</v>
      </c>
      <c r="C204" s="8" t="s">
        <v>1044</v>
      </c>
      <c r="D204" s="8" t="s">
        <v>1044</v>
      </c>
      <c r="E204" s="8" t="s">
        <v>1045</v>
      </c>
      <c r="F204" s="8" t="s">
        <v>76</v>
      </c>
      <c r="G204" s="8" t="s">
        <v>1046</v>
      </c>
      <c r="H204" s="8" t="s">
        <v>465</v>
      </c>
      <c r="I204" s="8" t="s">
        <v>1046</v>
      </c>
      <c r="J204" s="8" t="s">
        <v>1046</v>
      </c>
      <c r="K204" s="8" t="s">
        <v>1047</v>
      </c>
      <c r="L204" s="8" t="s">
        <v>51</v>
      </c>
      <c r="M204" s="8" t="s">
        <v>154</v>
      </c>
      <c r="N204" s="8" t="s">
        <v>1048</v>
      </c>
    </row>
    <row r="205" spans="1:14" s="1" customFormat="1" x14ac:dyDescent="0.25">
      <c r="A205" s="8" t="s">
        <v>1007</v>
      </c>
      <c r="B205" s="8" t="s">
        <v>249</v>
      </c>
      <c r="C205" s="8" t="s">
        <v>1049</v>
      </c>
      <c r="D205" s="8" t="s">
        <v>1049</v>
      </c>
      <c r="E205" s="8" t="s">
        <v>1050</v>
      </c>
      <c r="F205" s="8" t="s">
        <v>1051</v>
      </c>
      <c r="G205" s="8" t="s">
        <v>1052</v>
      </c>
      <c r="H205" s="8" t="s">
        <v>465</v>
      </c>
      <c r="I205" s="8" t="s">
        <v>1053</v>
      </c>
      <c r="J205" s="8" t="s">
        <v>1053</v>
      </c>
      <c r="K205" s="8" t="s">
        <v>1054</v>
      </c>
      <c r="L205" s="8" t="s">
        <v>51</v>
      </c>
      <c r="M205" s="8" t="s">
        <v>154</v>
      </c>
      <c r="N205" s="8" t="s">
        <v>1055</v>
      </c>
    </row>
    <row r="206" spans="1:14" s="1" customFormat="1" x14ac:dyDescent="0.25">
      <c r="A206" s="8" t="s">
        <v>1007</v>
      </c>
      <c r="B206" s="8" t="s">
        <v>249</v>
      </c>
      <c r="C206" s="8" t="s">
        <v>1056</v>
      </c>
      <c r="D206" s="8" t="s">
        <v>1056</v>
      </c>
      <c r="E206" s="8" t="s">
        <v>1057</v>
      </c>
      <c r="F206" s="8" t="s">
        <v>158</v>
      </c>
      <c r="G206" s="8" t="s">
        <v>1058</v>
      </c>
      <c r="H206" s="8" t="s">
        <v>465</v>
      </c>
      <c r="I206" s="8" t="s">
        <v>1011</v>
      </c>
      <c r="J206" s="8" t="s">
        <v>1058</v>
      </c>
      <c r="K206" s="8" t="s">
        <v>1059</v>
      </c>
      <c r="L206" s="8" t="s">
        <v>51</v>
      </c>
      <c r="M206" s="8" t="s">
        <v>154</v>
      </c>
      <c r="N206" s="8" t="s">
        <v>1060</v>
      </c>
    </row>
    <row r="207" spans="1:14" s="1" customFormat="1" x14ac:dyDescent="0.25">
      <c r="A207" s="8" t="s">
        <v>1007</v>
      </c>
      <c r="B207" s="8" t="s">
        <v>249</v>
      </c>
      <c r="C207" s="8" t="s">
        <v>1061</v>
      </c>
      <c r="D207" s="8" t="s">
        <v>1061</v>
      </c>
      <c r="E207" s="8" t="s">
        <v>1062</v>
      </c>
      <c r="F207" s="8" t="s">
        <v>158</v>
      </c>
      <c r="G207" s="8" t="s">
        <v>1063</v>
      </c>
      <c r="H207" s="8" t="s">
        <v>465</v>
      </c>
      <c r="I207" s="8" t="s">
        <v>1011</v>
      </c>
      <c r="J207" s="8" t="s">
        <v>1063</v>
      </c>
      <c r="K207" s="8" t="s">
        <v>1064</v>
      </c>
      <c r="L207" s="8" t="s">
        <v>51</v>
      </c>
      <c r="M207" s="8" t="s">
        <v>104</v>
      </c>
      <c r="N207" s="8" t="s">
        <v>1065</v>
      </c>
    </row>
    <row r="208" spans="1:14" s="1" customFormat="1" x14ac:dyDescent="0.25">
      <c r="A208" s="8" t="s">
        <v>1007</v>
      </c>
      <c r="B208" s="8" t="s">
        <v>249</v>
      </c>
      <c r="C208" s="8" t="s">
        <v>1066</v>
      </c>
      <c r="D208" s="8" t="s">
        <v>1066</v>
      </c>
      <c r="E208" s="8" t="s">
        <v>1067</v>
      </c>
      <c r="F208" s="8" t="s">
        <v>288</v>
      </c>
      <c r="G208" s="8" t="s">
        <v>1068</v>
      </c>
      <c r="H208" s="8" t="s">
        <v>465</v>
      </c>
      <c r="I208" s="8" t="s">
        <v>1011</v>
      </c>
      <c r="J208" s="8" t="s">
        <v>1011</v>
      </c>
      <c r="K208" s="8" t="s">
        <v>1069</v>
      </c>
      <c r="L208" s="8" t="s">
        <v>51</v>
      </c>
      <c r="M208" s="8" t="s">
        <v>104</v>
      </c>
      <c r="N208" s="8" t="s">
        <v>1070</v>
      </c>
    </row>
    <row r="209" spans="1:14" s="1" customFormat="1" x14ac:dyDescent="0.25">
      <c r="A209" s="8" t="s">
        <v>1007</v>
      </c>
      <c r="B209" s="8" t="s">
        <v>249</v>
      </c>
      <c r="C209" s="8" t="s">
        <v>1071</v>
      </c>
      <c r="D209" s="8" t="s">
        <v>1071</v>
      </c>
      <c r="E209" s="8" t="s">
        <v>1072</v>
      </c>
      <c r="F209" s="8" t="s">
        <v>164</v>
      </c>
      <c r="G209" s="8" t="s">
        <v>1023</v>
      </c>
      <c r="H209" s="8" t="s">
        <v>465</v>
      </c>
      <c r="I209" s="8" t="s">
        <v>1023</v>
      </c>
      <c r="J209" s="8" t="s">
        <v>1023</v>
      </c>
      <c r="K209" s="8" t="s">
        <v>148</v>
      </c>
      <c r="L209" s="8" t="s">
        <v>51</v>
      </c>
      <c r="M209" s="8" t="s">
        <v>154</v>
      </c>
      <c r="N209" s="8" t="s">
        <v>1073</v>
      </c>
    </row>
    <row r="210" spans="1:14" s="1" customFormat="1" x14ac:dyDescent="0.25">
      <c r="A210" s="8" t="s">
        <v>1007</v>
      </c>
      <c r="B210" s="8" t="s">
        <v>249</v>
      </c>
      <c r="C210" s="8" t="s">
        <v>1074</v>
      </c>
      <c r="D210" s="8" t="s">
        <v>1074</v>
      </c>
      <c r="E210" s="8" t="s">
        <v>1075</v>
      </c>
      <c r="F210" s="8" t="s">
        <v>164</v>
      </c>
      <c r="G210" s="8" t="s">
        <v>1076</v>
      </c>
      <c r="H210" s="8" t="s">
        <v>465</v>
      </c>
      <c r="I210" s="8" t="s">
        <v>1023</v>
      </c>
      <c r="J210" s="8" t="s">
        <v>1077</v>
      </c>
      <c r="K210" s="8" t="s">
        <v>1078</v>
      </c>
      <c r="L210" s="8" t="s">
        <v>51</v>
      </c>
      <c r="M210" s="8" t="s">
        <v>154</v>
      </c>
      <c r="N210" s="8" t="s">
        <v>1079</v>
      </c>
    </row>
    <row r="211" spans="1:14" s="1" customFormat="1" x14ac:dyDescent="0.25">
      <c r="A211" s="8" t="s">
        <v>1007</v>
      </c>
      <c r="B211" s="8" t="s">
        <v>249</v>
      </c>
      <c r="C211" s="8" t="s">
        <v>1080</v>
      </c>
      <c r="D211" s="8" t="s">
        <v>1080</v>
      </c>
      <c r="E211" s="8" t="s">
        <v>1081</v>
      </c>
      <c r="F211" s="8" t="s">
        <v>164</v>
      </c>
      <c r="G211" s="8" t="s">
        <v>1082</v>
      </c>
      <c r="H211" s="8" t="s">
        <v>465</v>
      </c>
      <c r="I211" s="8" t="s">
        <v>1011</v>
      </c>
      <c r="J211" s="8" t="s">
        <v>1082</v>
      </c>
      <c r="K211" s="8" t="s">
        <v>1083</v>
      </c>
      <c r="L211" s="8" t="s">
        <v>51</v>
      </c>
      <c r="M211" s="8" t="s">
        <v>119</v>
      </c>
      <c r="N211" s="8" t="s">
        <v>1084</v>
      </c>
    </row>
    <row r="212" spans="1:14" s="1" customFormat="1" x14ac:dyDescent="0.25">
      <c r="A212" s="8" t="s">
        <v>1007</v>
      </c>
      <c r="B212" s="8" t="s">
        <v>249</v>
      </c>
      <c r="C212" s="8" t="s">
        <v>1085</v>
      </c>
      <c r="D212" s="8" t="s">
        <v>1085</v>
      </c>
      <c r="E212" s="8" t="s">
        <v>1086</v>
      </c>
      <c r="F212" s="8" t="s">
        <v>100</v>
      </c>
      <c r="G212" s="8" t="s">
        <v>1087</v>
      </c>
      <c r="H212" s="8" t="s">
        <v>465</v>
      </c>
      <c r="I212" s="8" t="s">
        <v>1046</v>
      </c>
      <c r="J212" s="8" t="s">
        <v>1087</v>
      </c>
      <c r="K212" s="8" t="s">
        <v>1088</v>
      </c>
      <c r="L212" s="8" t="s">
        <v>51</v>
      </c>
      <c r="M212" s="8" t="s">
        <v>119</v>
      </c>
      <c r="N212" s="8" t="s">
        <v>1089</v>
      </c>
    </row>
    <row r="213" spans="1:14" s="1" customFormat="1" x14ac:dyDescent="0.25">
      <c r="A213" s="8" t="s">
        <v>1007</v>
      </c>
      <c r="B213" s="8" t="s">
        <v>249</v>
      </c>
      <c r="C213" s="8" t="s">
        <v>1090</v>
      </c>
      <c r="D213" s="8" t="s">
        <v>1090</v>
      </c>
      <c r="E213" s="8" t="s">
        <v>1091</v>
      </c>
      <c r="F213" s="8" t="s">
        <v>100</v>
      </c>
      <c r="G213" s="8" t="s">
        <v>1092</v>
      </c>
      <c r="H213" s="8" t="s">
        <v>465</v>
      </c>
      <c r="I213" s="8" t="s">
        <v>1093</v>
      </c>
      <c r="J213" s="8" t="s">
        <v>1092</v>
      </c>
      <c r="K213" s="8" t="s">
        <v>1094</v>
      </c>
      <c r="L213" s="8" t="s">
        <v>51</v>
      </c>
      <c r="M213" s="8" t="s">
        <v>119</v>
      </c>
      <c r="N213" s="8" t="s">
        <v>1095</v>
      </c>
    </row>
    <row r="214" spans="1:14" s="1" customFormat="1" x14ac:dyDescent="0.25">
      <c r="A214" s="8" t="s">
        <v>1007</v>
      </c>
      <c r="B214" s="8" t="s">
        <v>249</v>
      </c>
      <c r="C214" s="8" t="s">
        <v>1096</v>
      </c>
      <c r="D214" s="8" t="s">
        <v>1096</v>
      </c>
      <c r="E214" s="8" t="s">
        <v>1097</v>
      </c>
      <c r="F214" s="8" t="s">
        <v>100</v>
      </c>
      <c r="G214" s="8" t="s">
        <v>1098</v>
      </c>
      <c r="H214" s="8" t="s">
        <v>465</v>
      </c>
      <c r="I214" s="8" t="s">
        <v>1011</v>
      </c>
      <c r="J214" s="8" t="s">
        <v>1098</v>
      </c>
      <c r="K214" s="8" t="s">
        <v>1088</v>
      </c>
      <c r="L214" s="8" t="s">
        <v>51</v>
      </c>
      <c r="M214" s="8" t="s">
        <v>104</v>
      </c>
      <c r="N214" s="8" t="s">
        <v>1099</v>
      </c>
    </row>
    <row r="215" spans="1:14" s="1" customFormat="1" x14ac:dyDescent="0.25">
      <c r="A215" s="8" t="s">
        <v>1007</v>
      </c>
      <c r="B215" s="8" t="s">
        <v>249</v>
      </c>
      <c r="C215" s="8" t="s">
        <v>1100</v>
      </c>
      <c r="D215" s="8" t="s">
        <v>1100</v>
      </c>
      <c r="E215" s="8" t="s">
        <v>1101</v>
      </c>
      <c r="F215" s="8" t="s">
        <v>100</v>
      </c>
      <c r="G215" s="8" t="s">
        <v>1102</v>
      </c>
      <c r="H215" s="8" t="s">
        <v>465</v>
      </c>
      <c r="I215" s="8" t="s">
        <v>1102</v>
      </c>
      <c r="J215" s="8" t="s">
        <v>1102</v>
      </c>
      <c r="K215" s="8" t="s">
        <v>1088</v>
      </c>
      <c r="L215" s="8" t="s">
        <v>51</v>
      </c>
      <c r="M215" s="8" t="s">
        <v>104</v>
      </c>
      <c r="N215" s="8" t="s">
        <v>1103</v>
      </c>
    </row>
    <row r="216" spans="1:14" s="1" customFormat="1" x14ac:dyDescent="0.25">
      <c r="A216" s="8" t="s">
        <v>1007</v>
      </c>
      <c r="B216" s="8" t="s">
        <v>249</v>
      </c>
      <c r="C216" s="8" t="s">
        <v>1104</v>
      </c>
      <c r="D216" s="8" t="s">
        <v>1104</v>
      </c>
      <c r="E216" s="8" t="s">
        <v>1105</v>
      </c>
      <c r="F216" s="8" t="s">
        <v>100</v>
      </c>
      <c r="G216" s="8" t="s">
        <v>1106</v>
      </c>
      <c r="H216" s="8" t="s">
        <v>465</v>
      </c>
      <c r="I216" s="8" t="s">
        <v>1107</v>
      </c>
      <c r="J216" s="8" t="s">
        <v>1108</v>
      </c>
      <c r="K216" s="8" t="s">
        <v>1088</v>
      </c>
      <c r="L216" s="8" t="s">
        <v>51</v>
      </c>
      <c r="M216" s="8" t="s">
        <v>119</v>
      </c>
      <c r="N216" s="8" t="s">
        <v>1109</v>
      </c>
    </row>
    <row r="217" spans="1:14" s="1" customFormat="1" x14ac:dyDescent="0.25">
      <c r="A217" s="8" t="s">
        <v>1007</v>
      </c>
      <c r="B217" s="8" t="s">
        <v>249</v>
      </c>
      <c r="C217" s="8" t="s">
        <v>1110</v>
      </c>
      <c r="D217" s="8" t="s">
        <v>1110</v>
      </c>
      <c r="E217" s="8" t="s">
        <v>1111</v>
      </c>
      <c r="F217" s="8" t="s">
        <v>100</v>
      </c>
      <c r="G217" s="8" t="s">
        <v>1112</v>
      </c>
      <c r="H217" s="8" t="s">
        <v>465</v>
      </c>
      <c r="I217" s="8" t="s">
        <v>1107</v>
      </c>
      <c r="J217" s="8" t="s">
        <v>1112</v>
      </c>
      <c r="K217" s="8" t="s">
        <v>1088</v>
      </c>
      <c r="L217" s="8" t="s">
        <v>51</v>
      </c>
      <c r="M217" s="8" t="s">
        <v>104</v>
      </c>
      <c r="N217" s="8" t="s">
        <v>1113</v>
      </c>
    </row>
    <row r="218" spans="1:14" s="1" customFormat="1" x14ac:dyDescent="0.25">
      <c r="A218" s="8" t="s">
        <v>1007</v>
      </c>
      <c r="B218" s="8" t="s">
        <v>249</v>
      </c>
      <c r="C218" s="8" t="s">
        <v>1114</v>
      </c>
      <c r="D218" s="8" t="s">
        <v>1114</v>
      </c>
      <c r="E218" s="8" t="s">
        <v>1115</v>
      </c>
      <c r="F218" s="8" t="s">
        <v>187</v>
      </c>
      <c r="G218" s="8" t="s">
        <v>1116</v>
      </c>
      <c r="H218" s="8" t="s">
        <v>465</v>
      </c>
      <c r="I218" s="8" t="s">
        <v>1023</v>
      </c>
      <c r="J218" s="8" t="s">
        <v>1117</v>
      </c>
      <c r="K218" s="8"/>
      <c r="L218" s="8" t="s">
        <v>51</v>
      </c>
      <c r="M218" s="8" t="s">
        <v>119</v>
      </c>
      <c r="N218" s="8" t="s">
        <v>1118</v>
      </c>
    </row>
    <row r="219" spans="1:14" s="1" customFormat="1" x14ac:dyDescent="0.25">
      <c r="A219" s="8" t="s">
        <v>1007</v>
      </c>
      <c r="B219" s="8" t="s">
        <v>249</v>
      </c>
      <c r="C219" s="8" t="s">
        <v>1119</v>
      </c>
      <c r="D219" s="8" t="s">
        <v>1119</v>
      </c>
      <c r="E219" s="8" t="s">
        <v>1120</v>
      </c>
      <c r="F219" s="8" t="s">
        <v>187</v>
      </c>
      <c r="G219" s="8" t="s">
        <v>1121</v>
      </c>
      <c r="H219" s="8" t="s">
        <v>465</v>
      </c>
      <c r="I219" s="8" t="s">
        <v>1053</v>
      </c>
      <c r="J219" s="8" t="s">
        <v>1121</v>
      </c>
      <c r="K219" s="8" t="s">
        <v>1122</v>
      </c>
      <c r="L219" s="8" t="s">
        <v>51</v>
      </c>
      <c r="M219" s="8" t="s">
        <v>119</v>
      </c>
      <c r="N219" s="8" t="s">
        <v>1123</v>
      </c>
    </row>
    <row r="220" spans="1:14" s="1" customFormat="1" x14ac:dyDescent="0.25">
      <c r="A220" s="8" t="s">
        <v>1007</v>
      </c>
      <c r="B220" s="8" t="s">
        <v>249</v>
      </c>
      <c r="C220" s="8" t="s">
        <v>1124</v>
      </c>
      <c r="D220" s="8" t="s">
        <v>1124</v>
      </c>
      <c r="E220" s="8" t="s">
        <v>1125</v>
      </c>
      <c r="F220" s="8" t="s">
        <v>187</v>
      </c>
      <c r="G220" s="8" t="s">
        <v>1126</v>
      </c>
      <c r="H220" s="8" t="s">
        <v>465</v>
      </c>
      <c r="I220" s="8" t="s">
        <v>1046</v>
      </c>
      <c r="J220" s="8" t="s">
        <v>1126</v>
      </c>
      <c r="K220" s="8"/>
      <c r="L220" s="8" t="s">
        <v>51</v>
      </c>
      <c r="M220" s="8" t="s">
        <v>119</v>
      </c>
      <c r="N220" s="8" t="s">
        <v>1127</v>
      </c>
    </row>
    <row r="221" spans="1:14" s="1" customFormat="1" x14ac:dyDescent="0.25">
      <c r="A221" s="8" t="s">
        <v>1007</v>
      </c>
      <c r="B221" s="8" t="s">
        <v>249</v>
      </c>
      <c r="C221" s="8" t="s">
        <v>1128</v>
      </c>
      <c r="D221" s="8" t="s">
        <v>1128</v>
      </c>
      <c r="E221" s="8" t="s">
        <v>1129</v>
      </c>
      <c r="F221" s="8" t="s">
        <v>187</v>
      </c>
      <c r="G221" s="8" t="s">
        <v>1130</v>
      </c>
      <c r="H221" s="8" t="s">
        <v>465</v>
      </c>
      <c r="I221" s="8" t="s">
        <v>1046</v>
      </c>
      <c r="J221" s="8" t="s">
        <v>1087</v>
      </c>
      <c r="K221" s="8"/>
      <c r="L221" s="8" t="s">
        <v>51</v>
      </c>
      <c r="M221" s="8" t="s">
        <v>119</v>
      </c>
      <c r="N221" s="8" t="s">
        <v>1131</v>
      </c>
    </row>
    <row r="222" spans="1:14" s="1" customFormat="1" x14ac:dyDescent="0.25">
      <c r="A222" s="8" t="s">
        <v>1007</v>
      </c>
      <c r="B222" s="8" t="s">
        <v>249</v>
      </c>
      <c r="C222" s="8" t="s">
        <v>767</v>
      </c>
      <c r="D222" s="8" t="s">
        <v>1132</v>
      </c>
      <c r="E222" s="8" t="s">
        <v>1133</v>
      </c>
      <c r="F222" s="8" t="s">
        <v>187</v>
      </c>
      <c r="G222" s="8" t="s">
        <v>1134</v>
      </c>
      <c r="H222" s="8" t="s">
        <v>465</v>
      </c>
      <c r="I222" s="8" t="s">
        <v>1023</v>
      </c>
      <c r="J222" s="8" t="s">
        <v>1134</v>
      </c>
      <c r="K222" s="8" t="s">
        <v>1135</v>
      </c>
      <c r="L222" s="8" t="s">
        <v>51</v>
      </c>
      <c r="M222" s="8" t="s">
        <v>119</v>
      </c>
      <c r="N222" s="8" t="s">
        <v>1136</v>
      </c>
    </row>
    <row r="223" spans="1:14" s="1" customFormat="1" x14ac:dyDescent="0.25">
      <c r="A223" s="8" t="s">
        <v>1007</v>
      </c>
      <c r="B223" s="8" t="s">
        <v>249</v>
      </c>
      <c r="C223" s="8" t="s">
        <v>1137</v>
      </c>
      <c r="D223" s="8" t="s">
        <v>1137</v>
      </c>
      <c r="E223" s="8" t="s">
        <v>1138</v>
      </c>
      <c r="F223" s="8" t="s">
        <v>187</v>
      </c>
      <c r="G223" s="8" t="s">
        <v>1139</v>
      </c>
      <c r="H223" s="8" t="s">
        <v>465</v>
      </c>
      <c r="I223" s="8" t="s">
        <v>1140</v>
      </c>
      <c r="J223" s="8" t="s">
        <v>1139</v>
      </c>
      <c r="K223" s="8" t="s">
        <v>190</v>
      </c>
      <c r="L223" s="8" t="s">
        <v>51</v>
      </c>
      <c r="M223" s="8" t="s">
        <v>119</v>
      </c>
      <c r="N223" s="8" t="s">
        <v>1141</v>
      </c>
    </row>
    <row r="224" spans="1:14" s="1" customFormat="1" x14ac:dyDescent="0.25">
      <c r="A224" s="8" t="s">
        <v>1007</v>
      </c>
      <c r="B224" s="8" t="s">
        <v>249</v>
      </c>
      <c r="C224" s="8" t="s">
        <v>1142</v>
      </c>
      <c r="D224" s="8" t="s">
        <v>1142</v>
      </c>
      <c r="E224" s="8" t="s">
        <v>1143</v>
      </c>
      <c r="F224" s="8" t="s">
        <v>187</v>
      </c>
      <c r="G224" s="8" t="s">
        <v>1144</v>
      </c>
      <c r="H224" s="8" t="s">
        <v>465</v>
      </c>
      <c r="I224" s="8" t="s">
        <v>1046</v>
      </c>
      <c r="J224" s="8" t="s">
        <v>1144</v>
      </c>
      <c r="K224" s="8"/>
      <c r="L224" s="8" t="s">
        <v>51</v>
      </c>
      <c r="M224" s="8" t="s">
        <v>119</v>
      </c>
      <c r="N224" s="8" t="s">
        <v>1145</v>
      </c>
    </row>
    <row r="225" spans="1:14" s="1" customFormat="1" x14ac:dyDescent="0.25">
      <c r="A225" s="8" t="s">
        <v>1007</v>
      </c>
      <c r="B225" s="8" t="s">
        <v>249</v>
      </c>
      <c r="C225" s="8" t="s">
        <v>311</v>
      </c>
      <c r="D225" s="8" t="s">
        <v>1146</v>
      </c>
      <c r="E225" s="8" t="s">
        <v>1147</v>
      </c>
      <c r="F225" s="8" t="s">
        <v>187</v>
      </c>
      <c r="G225" s="8" t="s">
        <v>1117</v>
      </c>
      <c r="H225" s="8" t="s">
        <v>465</v>
      </c>
      <c r="I225" s="8" t="s">
        <v>1023</v>
      </c>
      <c r="J225" s="8" t="s">
        <v>1117</v>
      </c>
      <c r="K225" s="8" t="s">
        <v>1148</v>
      </c>
      <c r="L225" s="8" t="s">
        <v>51</v>
      </c>
      <c r="M225" s="8" t="s">
        <v>119</v>
      </c>
      <c r="N225" s="8" t="s">
        <v>1149</v>
      </c>
    </row>
    <row r="226" spans="1:14" s="1" customFormat="1" x14ac:dyDescent="0.25">
      <c r="A226" s="8" t="s">
        <v>1007</v>
      </c>
      <c r="B226" s="8" t="s">
        <v>249</v>
      </c>
      <c r="C226" s="8" t="s">
        <v>1150</v>
      </c>
      <c r="D226" s="8" t="s">
        <v>1150</v>
      </c>
      <c r="E226" s="8" t="s">
        <v>1151</v>
      </c>
      <c r="F226" s="8" t="s">
        <v>187</v>
      </c>
      <c r="G226" s="8" t="s">
        <v>1140</v>
      </c>
      <c r="H226" s="8" t="s">
        <v>465</v>
      </c>
      <c r="I226" s="8" t="s">
        <v>1140</v>
      </c>
      <c r="J226" s="8" t="s">
        <v>1140</v>
      </c>
      <c r="K226" s="8" t="s">
        <v>190</v>
      </c>
      <c r="L226" s="8" t="s">
        <v>51</v>
      </c>
      <c r="M226" s="8" t="s">
        <v>104</v>
      </c>
      <c r="N226" s="8" t="s">
        <v>1152</v>
      </c>
    </row>
    <row r="227" spans="1:14" s="1" customFormat="1" x14ac:dyDescent="0.25">
      <c r="A227" s="8" t="s">
        <v>1007</v>
      </c>
      <c r="B227" s="8" t="s">
        <v>249</v>
      </c>
      <c r="C227" s="8" t="s">
        <v>1153</v>
      </c>
      <c r="D227" s="8" t="s">
        <v>1153</v>
      </c>
      <c r="E227" s="8" t="s">
        <v>1154</v>
      </c>
      <c r="F227" s="8" t="s">
        <v>187</v>
      </c>
      <c r="G227" s="8" t="s">
        <v>1155</v>
      </c>
      <c r="H227" s="8" t="s">
        <v>465</v>
      </c>
      <c r="I227" s="8" t="s">
        <v>1023</v>
      </c>
      <c r="J227" s="8" t="s">
        <v>1156</v>
      </c>
      <c r="K227" s="8"/>
      <c r="L227" s="8" t="s">
        <v>51</v>
      </c>
      <c r="M227" s="8" t="s">
        <v>119</v>
      </c>
      <c r="N227" s="8" t="s">
        <v>1157</v>
      </c>
    </row>
    <row r="228" spans="1:14" s="1" customFormat="1" x14ac:dyDescent="0.25">
      <c r="A228" s="8" t="s">
        <v>1007</v>
      </c>
      <c r="B228" s="8" t="s">
        <v>249</v>
      </c>
      <c r="C228" s="8" t="s">
        <v>1158</v>
      </c>
      <c r="D228" s="8" t="s">
        <v>1158</v>
      </c>
      <c r="E228" s="8" t="s">
        <v>1159</v>
      </c>
      <c r="F228" s="8" t="s">
        <v>116</v>
      </c>
      <c r="G228" s="8" t="s">
        <v>1160</v>
      </c>
      <c r="H228" s="8" t="s">
        <v>465</v>
      </c>
      <c r="I228" s="8" t="s">
        <v>1161</v>
      </c>
      <c r="J228" s="8" t="s">
        <v>1160</v>
      </c>
      <c r="K228" s="8" t="s">
        <v>1088</v>
      </c>
      <c r="L228" s="8" t="s">
        <v>51</v>
      </c>
      <c r="M228" s="8" t="s">
        <v>119</v>
      </c>
      <c r="N228" s="8" t="s">
        <v>1162</v>
      </c>
    </row>
    <row r="229" spans="1:14" s="1" customFormat="1" x14ac:dyDescent="0.25">
      <c r="A229" s="8" t="s">
        <v>1007</v>
      </c>
      <c r="B229" s="8" t="s">
        <v>249</v>
      </c>
      <c r="C229" s="8" t="s">
        <v>1163</v>
      </c>
      <c r="D229" s="8" t="s">
        <v>1163</v>
      </c>
      <c r="E229" s="8" t="s">
        <v>1164</v>
      </c>
      <c r="F229" s="8" t="s">
        <v>116</v>
      </c>
      <c r="G229" s="8" t="s">
        <v>1156</v>
      </c>
      <c r="H229" s="8" t="s">
        <v>465</v>
      </c>
      <c r="I229" s="8" t="s">
        <v>1023</v>
      </c>
      <c r="J229" s="8" t="s">
        <v>1156</v>
      </c>
      <c r="K229" s="8" t="s">
        <v>1088</v>
      </c>
      <c r="L229" s="8" t="s">
        <v>51</v>
      </c>
      <c r="M229" s="8" t="s">
        <v>119</v>
      </c>
      <c r="N229" s="8" t="s">
        <v>1165</v>
      </c>
    </row>
    <row r="230" spans="1:14" s="1" customFormat="1" x14ac:dyDescent="0.25">
      <c r="A230" s="8" t="s">
        <v>1007</v>
      </c>
      <c r="B230" s="8" t="s">
        <v>249</v>
      </c>
      <c r="C230" s="8" t="s">
        <v>1166</v>
      </c>
      <c r="D230" s="8" t="s">
        <v>1166</v>
      </c>
      <c r="E230" s="8" t="s">
        <v>1167</v>
      </c>
      <c r="F230" s="8" t="s">
        <v>116</v>
      </c>
      <c r="G230" s="8" t="s">
        <v>1168</v>
      </c>
      <c r="H230" s="8" t="s">
        <v>465</v>
      </c>
      <c r="I230" s="8" t="s">
        <v>1023</v>
      </c>
      <c r="J230" s="8" t="s">
        <v>1169</v>
      </c>
      <c r="K230" s="8" t="s">
        <v>1088</v>
      </c>
      <c r="L230" s="8" t="s">
        <v>51</v>
      </c>
      <c r="M230" s="8" t="s">
        <v>119</v>
      </c>
      <c r="N230" s="8" t="s">
        <v>1170</v>
      </c>
    </row>
    <row r="231" spans="1:14" s="1" customFormat="1" x14ac:dyDescent="0.25">
      <c r="A231" s="8" t="s">
        <v>1007</v>
      </c>
      <c r="B231" s="8" t="s">
        <v>249</v>
      </c>
      <c r="C231" s="8" t="s">
        <v>1171</v>
      </c>
      <c r="D231" s="8" t="s">
        <v>1171</v>
      </c>
      <c r="E231" s="8" t="s">
        <v>1172</v>
      </c>
      <c r="F231" s="8" t="s">
        <v>116</v>
      </c>
      <c r="G231" s="8" t="s">
        <v>1173</v>
      </c>
      <c r="H231" s="8" t="s">
        <v>465</v>
      </c>
      <c r="I231" s="8" t="s">
        <v>1011</v>
      </c>
      <c r="J231" s="8" t="s">
        <v>1173</v>
      </c>
      <c r="K231" s="8" t="s">
        <v>1088</v>
      </c>
      <c r="L231" s="8" t="s">
        <v>51</v>
      </c>
      <c r="M231" s="8" t="s">
        <v>119</v>
      </c>
      <c r="N231" s="8" t="s">
        <v>1174</v>
      </c>
    </row>
    <row r="232" spans="1:14" s="1" customFormat="1" x14ac:dyDescent="0.25">
      <c r="A232" s="8" t="s">
        <v>1007</v>
      </c>
      <c r="B232" s="8" t="s">
        <v>249</v>
      </c>
      <c r="C232" s="8" t="s">
        <v>1175</v>
      </c>
      <c r="D232" s="8" t="s">
        <v>1175</v>
      </c>
      <c r="E232" s="8" t="s">
        <v>1176</v>
      </c>
      <c r="F232" s="8" t="s">
        <v>116</v>
      </c>
      <c r="G232" s="8" t="s">
        <v>1177</v>
      </c>
      <c r="H232" s="8" t="s">
        <v>465</v>
      </c>
      <c r="I232" s="8" t="s">
        <v>1046</v>
      </c>
      <c r="J232" s="8" t="s">
        <v>1177</v>
      </c>
      <c r="K232" s="8" t="s">
        <v>1088</v>
      </c>
      <c r="L232" s="8" t="s">
        <v>51</v>
      </c>
      <c r="M232" s="8" t="s">
        <v>119</v>
      </c>
      <c r="N232" s="8" t="s">
        <v>1178</v>
      </c>
    </row>
    <row r="233" spans="1:14" s="1" customFormat="1" x14ac:dyDescent="0.25">
      <c r="A233" s="8" t="s">
        <v>1179</v>
      </c>
      <c r="B233" s="8" t="s">
        <v>73</v>
      </c>
      <c r="C233" s="8" t="s">
        <v>1180</v>
      </c>
      <c r="D233" s="8" t="s">
        <v>1180</v>
      </c>
      <c r="E233" s="8" t="s">
        <v>1181</v>
      </c>
      <c r="F233" s="8" t="s">
        <v>144</v>
      </c>
      <c r="G233" s="8" t="s">
        <v>1182</v>
      </c>
      <c r="H233" s="8" t="s">
        <v>1183</v>
      </c>
      <c r="I233" s="8" t="s">
        <v>1184</v>
      </c>
      <c r="J233" s="8" t="s">
        <v>1185</v>
      </c>
      <c r="K233" s="8" t="s">
        <v>1186</v>
      </c>
      <c r="L233" s="8" t="s">
        <v>51</v>
      </c>
      <c r="M233" s="8" t="s">
        <v>256</v>
      </c>
      <c r="N233" s="8" t="s">
        <v>1187</v>
      </c>
    </row>
    <row r="234" spans="1:14" s="1" customFormat="1" x14ac:dyDescent="0.25">
      <c r="A234" s="8" t="s">
        <v>1179</v>
      </c>
      <c r="B234" s="8" t="s">
        <v>73</v>
      </c>
      <c r="C234" s="8" t="s">
        <v>1188</v>
      </c>
      <c r="D234" s="8" t="s">
        <v>1188</v>
      </c>
      <c r="E234" s="8" t="s">
        <v>1189</v>
      </c>
      <c r="F234" s="8" t="s">
        <v>76</v>
      </c>
      <c r="G234" s="8" t="s">
        <v>1190</v>
      </c>
      <c r="H234" s="8" t="s">
        <v>1183</v>
      </c>
      <c r="I234" s="8" t="s">
        <v>1191</v>
      </c>
      <c r="J234" s="8" t="s">
        <v>1190</v>
      </c>
      <c r="K234" s="8" t="s">
        <v>1192</v>
      </c>
      <c r="L234" s="8" t="s">
        <v>51</v>
      </c>
      <c r="M234" s="8" t="s">
        <v>82</v>
      </c>
      <c r="N234" s="8" t="s">
        <v>1193</v>
      </c>
    </row>
    <row r="235" spans="1:14" s="1" customFormat="1" x14ac:dyDescent="0.25">
      <c r="A235" s="8" t="s">
        <v>1179</v>
      </c>
      <c r="B235" s="8" t="s">
        <v>73</v>
      </c>
      <c r="C235" s="8" t="s">
        <v>1194</v>
      </c>
      <c r="D235" s="8" t="s">
        <v>1194</v>
      </c>
      <c r="E235" s="8" t="s">
        <v>1195</v>
      </c>
      <c r="F235" s="8" t="s">
        <v>288</v>
      </c>
      <c r="G235" s="8" t="s">
        <v>1185</v>
      </c>
      <c r="H235" s="8" t="s">
        <v>1183</v>
      </c>
      <c r="I235" s="8" t="s">
        <v>1184</v>
      </c>
      <c r="J235" s="8" t="s">
        <v>1185</v>
      </c>
      <c r="K235" s="8" t="s">
        <v>1196</v>
      </c>
      <c r="L235" s="8" t="s">
        <v>51</v>
      </c>
      <c r="M235" s="8" t="s">
        <v>104</v>
      </c>
      <c r="N235" s="8" t="s">
        <v>1197</v>
      </c>
    </row>
    <row r="236" spans="1:14" s="1" customFormat="1" x14ac:dyDescent="0.25">
      <c r="A236" s="8" t="s">
        <v>1179</v>
      </c>
      <c r="B236" s="8" t="s">
        <v>73</v>
      </c>
      <c r="C236" s="8" t="s">
        <v>1198</v>
      </c>
      <c r="D236" s="8" t="s">
        <v>1198</v>
      </c>
      <c r="E236" s="8" t="s">
        <v>1199</v>
      </c>
      <c r="F236" s="8" t="s">
        <v>288</v>
      </c>
      <c r="G236" s="8" t="s">
        <v>1200</v>
      </c>
      <c r="H236" s="8" t="s">
        <v>1183</v>
      </c>
      <c r="I236" s="8" t="s">
        <v>1184</v>
      </c>
      <c r="J236" s="8" t="s">
        <v>1200</v>
      </c>
      <c r="K236" s="8" t="s">
        <v>1201</v>
      </c>
      <c r="L236" s="8" t="s">
        <v>51</v>
      </c>
      <c r="M236" s="8" t="s">
        <v>104</v>
      </c>
      <c r="N236" s="8" t="s">
        <v>1202</v>
      </c>
    </row>
    <row r="237" spans="1:14" s="1" customFormat="1" x14ac:dyDescent="0.25">
      <c r="A237" s="8" t="s">
        <v>1179</v>
      </c>
      <c r="B237" s="8" t="s">
        <v>73</v>
      </c>
      <c r="C237" s="8" t="s">
        <v>1203</v>
      </c>
      <c r="D237" s="8" t="s">
        <v>1204</v>
      </c>
      <c r="E237" s="8" t="s">
        <v>1205</v>
      </c>
      <c r="F237" s="8" t="s">
        <v>100</v>
      </c>
      <c r="G237" s="8" t="s">
        <v>1206</v>
      </c>
      <c r="H237" s="8" t="s">
        <v>1183</v>
      </c>
      <c r="I237" s="8" t="s">
        <v>1207</v>
      </c>
      <c r="J237" s="8" t="s">
        <v>1207</v>
      </c>
      <c r="K237" s="8" t="s">
        <v>1208</v>
      </c>
      <c r="L237" s="8" t="s">
        <v>51</v>
      </c>
      <c r="M237" s="8" t="s">
        <v>104</v>
      </c>
      <c r="N237" s="8" t="s">
        <v>1209</v>
      </c>
    </row>
    <row r="238" spans="1:14" s="1" customFormat="1" x14ac:dyDescent="0.25">
      <c r="A238" s="8" t="s">
        <v>1179</v>
      </c>
      <c r="B238" s="8" t="s">
        <v>73</v>
      </c>
      <c r="C238" s="8" t="s">
        <v>1210</v>
      </c>
      <c r="D238" s="8" t="s">
        <v>1211</v>
      </c>
      <c r="E238" s="8" t="s">
        <v>1212</v>
      </c>
      <c r="F238" s="8" t="s">
        <v>100</v>
      </c>
      <c r="G238" s="8" t="s">
        <v>1213</v>
      </c>
      <c r="H238" s="8" t="s">
        <v>1183</v>
      </c>
      <c r="I238" s="8" t="s">
        <v>1183</v>
      </c>
      <c r="J238" s="8" t="s">
        <v>1213</v>
      </c>
      <c r="K238" s="8" t="s">
        <v>1208</v>
      </c>
      <c r="L238" s="8" t="s">
        <v>51</v>
      </c>
      <c r="M238" s="8" t="s">
        <v>104</v>
      </c>
      <c r="N238" s="8" t="s">
        <v>1214</v>
      </c>
    </row>
    <row r="239" spans="1:14" s="1" customFormat="1" x14ac:dyDescent="0.25">
      <c r="A239" s="8" t="s">
        <v>1179</v>
      </c>
      <c r="B239" s="8" t="s">
        <v>73</v>
      </c>
      <c r="C239" s="8" t="s">
        <v>1215</v>
      </c>
      <c r="D239" s="8" t="s">
        <v>1216</v>
      </c>
      <c r="E239" s="8" t="s">
        <v>1217</v>
      </c>
      <c r="F239" s="8" t="s">
        <v>100</v>
      </c>
      <c r="G239" s="8" t="s">
        <v>1218</v>
      </c>
      <c r="H239" s="8" t="s">
        <v>1183</v>
      </c>
      <c r="I239" s="8" t="s">
        <v>1218</v>
      </c>
      <c r="J239" s="8" t="s">
        <v>1218</v>
      </c>
      <c r="K239" s="8" t="s">
        <v>1208</v>
      </c>
      <c r="L239" s="8" t="s">
        <v>51</v>
      </c>
      <c r="M239" s="8" t="s">
        <v>104</v>
      </c>
      <c r="N239" s="8" t="s">
        <v>1219</v>
      </c>
    </row>
    <row r="240" spans="1:14" s="1" customFormat="1" x14ac:dyDescent="0.25">
      <c r="A240" s="8" t="s">
        <v>1179</v>
      </c>
      <c r="B240" s="8" t="s">
        <v>73</v>
      </c>
      <c r="C240" s="8" t="s">
        <v>1220</v>
      </c>
      <c r="D240" s="8" t="s">
        <v>1220</v>
      </c>
      <c r="E240" s="8" t="s">
        <v>1221</v>
      </c>
      <c r="F240" s="8" t="s">
        <v>100</v>
      </c>
      <c r="G240" s="8" t="s">
        <v>397</v>
      </c>
      <c r="H240" s="8" t="s">
        <v>1183</v>
      </c>
      <c r="I240" s="8" t="s">
        <v>1184</v>
      </c>
      <c r="J240" s="8" t="s">
        <v>397</v>
      </c>
      <c r="K240" s="8" t="s">
        <v>1222</v>
      </c>
      <c r="L240" s="8" t="s">
        <v>51</v>
      </c>
      <c r="M240" s="8" t="s">
        <v>104</v>
      </c>
      <c r="N240" s="8" t="s">
        <v>1223</v>
      </c>
    </row>
    <row r="241" spans="1:14" s="1" customFormat="1" x14ac:dyDescent="0.25">
      <c r="A241" s="8" t="s">
        <v>1179</v>
      </c>
      <c r="B241" s="8" t="s">
        <v>73</v>
      </c>
      <c r="C241" s="8" t="s">
        <v>1224</v>
      </c>
      <c r="D241" s="8" t="s">
        <v>1224</v>
      </c>
      <c r="E241" s="8" t="s">
        <v>1225</v>
      </c>
      <c r="F241" s="8" t="s">
        <v>116</v>
      </c>
      <c r="G241" s="8" t="s">
        <v>1226</v>
      </c>
      <c r="H241" s="8" t="s">
        <v>1183</v>
      </c>
      <c r="I241" s="8" t="s">
        <v>1184</v>
      </c>
      <c r="J241" s="8" t="s">
        <v>1227</v>
      </c>
      <c r="K241" s="8" t="s">
        <v>1228</v>
      </c>
      <c r="L241" s="8" t="s">
        <v>51</v>
      </c>
      <c r="M241" s="8" t="s">
        <v>119</v>
      </c>
      <c r="N241" s="8" t="s">
        <v>1229</v>
      </c>
    </row>
    <row r="242" spans="1:14" s="1" customFormat="1" x14ac:dyDescent="0.25">
      <c r="A242" s="8" t="s">
        <v>1230</v>
      </c>
      <c r="B242" s="8" t="s">
        <v>73</v>
      </c>
      <c r="C242" s="8" t="s">
        <v>1231</v>
      </c>
      <c r="D242" s="8" t="s">
        <v>1231</v>
      </c>
      <c r="E242" s="8" t="s">
        <v>1232</v>
      </c>
      <c r="F242" s="8" t="s">
        <v>76</v>
      </c>
      <c r="G242" s="8" t="s">
        <v>1233</v>
      </c>
      <c r="H242" s="8" t="s">
        <v>567</v>
      </c>
      <c r="I242" s="8" t="s">
        <v>1234</v>
      </c>
      <c r="J242" s="8" t="s">
        <v>1234</v>
      </c>
      <c r="K242" s="8" t="s">
        <v>1235</v>
      </c>
      <c r="L242" s="8" t="s">
        <v>51</v>
      </c>
      <c r="M242" s="8" t="s">
        <v>82</v>
      </c>
      <c r="N242" s="8" t="s">
        <v>1236</v>
      </c>
    </row>
    <row r="243" spans="1:14" s="1" customFormat="1" x14ac:dyDescent="0.25">
      <c r="A243" s="8" t="s">
        <v>1230</v>
      </c>
      <c r="B243" s="8" t="s">
        <v>73</v>
      </c>
      <c r="C243" s="8" t="s">
        <v>1237</v>
      </c>
      <c r="D243" s="8" t="s">
        <v>1237</v>
      </c>
      <c r="E243" s="8" t="s">
        <v>1238</v>
      </c>
      <c r="F243" s="8" t="s">
        <v>187</v>
      </c>
      <c r="G243" s="8" t="s">
        <v>1239</v>
      </c>
      <c r="H243" s="8" t="s">
        <v>567</v>
      </c>
      <c r="I243" s="8" t="s">
        <v>1240</v>
      </c>
      <c r="J243" s="8" t="s">
        <v>1239</v>
      </c>
      <c r="K243" s="8" t="s">
        <v>190</v>
      </c>
      <c r="L243" s="8" t="s">
        <v>51</v>
      </c>
      <c r="M243" s="8" t="s">
        <v>119</v>
      </c>
      <c r="N243" s="8" t="s">
        <v>1241</v>
      </c>
    </row>
    <row r="244" spans="1:14" s="1" customFormat="1" x14ac:dyDescent="0.25">
      <c r="A244" s="8" t="s">
        <v>1230</v>
      </c>
      <c r="B244" s="8" t="s">
        <v>73</v>
      </c>
      <c r="C244" s="8" t="s">
        <v>1242</v>
      </c>
      <c r="D244" s="8" t="s">
        <v>1242</v>
      </c>
      <c r="E244" s="8" t="s">
        <v>1243</v>
      </c>
      <c r="F244" s="8" t="s">
        <v>187</v>
      </c>
      <c r="G244" s="8" t="s">
        <v>1244</v>
      </c>
      <c r="H244" s="8" t="s">
        <v>567</v>
      </c>
      <c r="I244" s="8" t="s">
        <v>1234</v>
      </c>
      <c r="J244" s="8" t="s">
        <v>1245</v>
      </c>
      <c r="K244" s="8" t="s">
        <v>190</v>
      </c>
      <c r="L244" s="8" t="s">
        <v>51</v>
      </c>
      <c r="M244" s="8" t="s">
        <v>119</v>
      </c>
      <c r="N244" s="8" t="s">
        <v>1246</v>
      </c>
    </row>
    <row r="245" spans="1:14" s="1" customFormat="1" x14ac:dyDescent="0.25">
      <c r="A245" s="8" t="s">
        <v>1247</v>
      </c>
      <c r="B245" s="8" t="s">
        <v>73</v>
      </c>
      <c r="C245" s="8" t="s">
        <v>1248</v>
      </c>
      <c r="D245" s="8" t="s">
        <v>1248</v>
      </c>
      <c r="E245" s="8" t="s">
        <v>1249</v>
      </c>
      <c r="F245" s="8" t="s">
        <v>206</v>
      </c>
      <c r="G245" s="8" t="s">
        <v>1250</v>
      </c>
      <c r="H245" s="8" t="s">
        <v>1251</v>
      </c>
      <c r="I245" s="8" t="s">
        <v>1252</v>
      </c>
      <c r="J245" s="8" t="s">
        <v>1252</v>
      </c>
      <c r="K245" s="8" t="s">
        <v>1253</v>
      </c>
      <c r="L245" s="8" t="s">
        <v>51</v>
      </c>
      <c r="M245" s="8" t="s">
        <v>82</v>
      </c>
      <c r="N245" s="8" t="s">
        <v>1254</v>
      </c>
    </row>
    <row r="246" spans="1:14" s="1" customFormat="1" x14ac:dyDescent="0.25">
      <c r="A246" s="8" t="s">
        <v>1247</v>
      </c>
      <c r="B246" s="8" t="s">
        <v>73</v>
      </c>
      <c r="C246" s="8" t="s">
        <v>1255</v>
      </c>
      <c r="D246" s="8" t="s">
        <v>1255</v>
      </c>
      <c r="E246" s="8" t="s">
        <v>1256</v>
      </c>
      <c r="F246" s="8" t="s">
        <v>206</v>
      </c>
      <c r="G246" s="8" t="s">
        <v>1251</v>
      </c>
      <c r="H246" s="8" t="s">
        <v>1251</v>
      </c>
      <c r="I246" s="8" t="s">
        <v>1257</v>
      </c>
      <c r="J246" s="8" t="s">
        <v>1251</v>
      </c>
      <c r="K246" s="8" t="s">
        <v>1258</v>
      </c>
      <c r="L246" s="8" t="s">
        <v>51</v>
      </c>
      <c r="M246" s="8" t="s">
        <v>82</v>
      </c>
      <c r="N246" s="8" t="s">
        <v>1259</v>
      </c>
    </row>
    <row r="247" spans="1:14" s="1" customFormat="1" x14ac:dyDescent="0.25">
      <c r="A247" s="8" t="s">
        <v>1247</v>
      </c>
      <c r="B247" s="8" t="s">
        <v>73</v>
      </c>
      <c r="C247" s="8" t="s">
        <v>1260</v>
      </c>
      <c r="D247" s="8" t="s">
        <v>1260</v>
      </c>
      <c r="E247" s="8"/>
      <c r="F247" s="8" t="s">
        <v>164</v>
      </c>
      <c r="G247" s="8" t="s">
        <v>1261</v>
      </c>
      <c r="H247" s="8" t="s">
        <v>1251</v>
      </c>
      <c r="I247" s="8" t="s">
        <v>1252</v>
      </c>
      <c r="J247" s="8" t="s">
        <v>1252</v>
      </c>
      <c r="K247" s="8" t="s">
        <v>1262</v>
      </c>
      <c r="L247" s="8" t="s">
        <v>51</v>
      </c>
      <c r="M247" s="8" t="s">
        <v>119</v>
      </c>
      <c r="N247" s="8" t="s">
        <v>1263</v>
      </c>
    </row>
    <row r="248" spans="1:14" s="1" customFormat="1" x14ac:dyDescent="0.25">
      <c r="A248" s="8" t="s">
        <v>1247</v>
      </c>
      <c r="B248" s="8" t="s">
        <v>73</v>
      </c>
      <c r="C248" s="8" t="s">
        <v>1264</v>
      </c>
      <c r="D248" s="8" t="s">
        <v>1264</v>
      </c>
      <c r="E248" s="8"/>
      <c r="F248" s="8" t="s">
        <v>164</v>
      </c>
      <c r="G248" s="8" t="s">
        <v>1265</v>
      </c>
      <c r="H248" s="8" t="s">
        <v>1251</v>
      </c>
      <c r="I248" s="8" t="s">
        <v>1257</v>
      </c>
      <c r="J248" s="8" t="s">
        <v>1265</v>
      </c>
      <c r="K248" s="8" t="s">
        <v>1262</v>
      </c>
      <c r="L248" s="8" t="s">
        <v>51</v>
      </c>
      <c r="M248" s="8" t="s">
        <v>119</v>
      </c>
      <c r="N248" s="8" t="s">
        <v>1266</v>
      </c>
    </row>
    <row r="249" spans="1:14" s="1" customFormat="1" x14ac:dyDescent="0.25">
      <c r="A249" s="8" t="s">
        <v>1247</v>
      </c>
      <c r="B249" s="8" t="s">
        <v>73</v>
      </c>
      <c r="C249" s="8" t="s">
        <v>1267</v>
      </c>
      <c r="D249" s="8" t="s">
        <v>1267</v>
      </c>
      <c r="E249" s="8" t="s">
        <v>1268</v>
      </c>
      <c r="F249" s="8" t="s">
        <v>100</v>
      </c>
      <c r="G249" s="8" t="s">
        <v>1269</v>
      </c>
      <c r="H249" s="8" t="s">
        <v>1251</v>
      </c>
      <c r="I249" s="8" t="s">
        <v>1257</v>
      </c>
      <c r="J249" s="8" t="s">
        <v>1269</v>
      </c>
      <c r="K249" s="8" t="s">
        <v>1270</v>
      </c>
      <c r="L249" s="8" t="s">
        <v>51</v>
      </c>
      <c r="M249" s="8" t="s">
        <v>104</v>
      </c>
      <c r="N249" s="8" t="s">
        <v>1271</v>
      </c>
    </row>
    <row r="250" spans="1:14" s="1" customFormat="1" x14ac:dyDescent="0.25">
      <c r="A250" s="8" t="s">
        <v>1247</v>
      </c>
      <c r="B250" s="8" t="s">
        <v>73</v>
      </c>
      <c r="C250" s="8" t="s">
        <v>1272</v>
      </c>
      <c r="D250" s="8" t="s">
        <v>1272</v>
      </c>
      <c r="E250" s="8" t="s">
        <v>1273</v>
      </c>
      <c r="F250" s="8" t="s">
        <v>187</v>
      </c>
      <c r="G250" s="8" t="s">
        <v>1274</v>
      </c>
      <c r="H250" s="8" t="s">
        <v>1251</v>
      </c>
      <c r="I250" s="8" t="s">
        <v>1275</v>
      </c>
      <c r="J250" s="8" t="s">
        <v>1274</v>
      </c>
      <c r="K250" s="8" t="s">
        <v>190</v>
      </c>
      <c r="L250" s="8" t="s">
        <v>51</v>
      </c>
      <c r="M250" s="8" t="s">
        <v>119</v>
      </c>
      <c r="N250" s="8" t="s">
        <v>1276</v>
      </c>
    </row>
    <row r="251" spans="1:14" s="1" customFormat="1" x14ac:dyDescent="0.25">
      <c r="A251" s="8" t="s">
        <v>1277</v>
      </c>
      <c r="B251" s="8" t="s">
        <v>73</v>
      </c>
      <c r="C251" s="8" t="s">
        <v>1278</v>
      </c>
      <c r="D251" s="8" t="s">
        <v>1278</v>
      </c>
      <c r="E251" s="8" t="s">
        <v>1279</v>
      </c>
      <c r="F251" s="8" t="s">
        <v>76</v>
      </c>
      <c r="G251" s="8" t="s">
        <v>1280</v>
      </c>
      <c r="H251" s="8" t="s">
        <v>670</v>
      </c>
      <c r="I251" s="8" t="s">
        <v>1281</v>
      </c>
      <c r="J251" s="8" t="s">
        <v>1281</v>
      </c>
      <c r="K251" s="8" t="s">
        <v>1282</v>
      </c>
      <c r="L251" s="8" t="s">
        <v>51</v>
      </c>
      <c r="M251" s="8" t="s">
        <v>82</v>
      </c>
      <c r="N251" s="8" t="s">
        <v>1283</v>
      </c>
    </row>
    <row r="252" spans="1:14" s="1" customFormat="1" x14ac:dyDescent="0.25">
      <c r="A252" s="8" t="s">
        <v>1277</v>
      </c>
      <c r="B252" s="8" t="s">
        <v>73</v>
      </c>
      <c r="C252" s="8" t="s">
        <v>1284</v>
      </c>
      <c r="D252" s="8" t="s">
        <v>1284</v>
      </c>
      <c r="E252" s="8" t="s">
        <v>1285</v>
      </c>
      <c r="F252" s="8" t="s">
        <v>76</v>
      </c>
      <c r="G252" s="8" t="s">
        <v>1286</v>
      </c>
      <c r="H252" s="8" t="s">
        <v>670</v>
      </c>
      <c r="I252" s="8" t="s">
        <v>1286</v>
      </c>
      <c r="J252" s="8" t="s">
        <v>1286</v>
      </c>
      <c r="K252" s="8" t="s">
        <v>148</v>
      </c>
      <c r="L252" s="8" t="s">
        <v>51</v>
      </c>
      <c r="M252" s="8" t="s">
        <v>154</v>
      </c>
      <c r="N252" s="8" t="s">
        <v>1287</v>
      </c>
    </row>
    <row r="253" spans="1:14" s="1" customFormat="1" x14ac:dyDescent="0.25">
      <c r="A253" s="8" t="s">
        <v>1277</v>
      </c>
      <c r="B253" s="8" t="s">
        <v>73</v>
      </c>
      <c r="C253" s="8" t="s">
        <v>1288</v>
      </c>
      <c r="D253" s="8" t="s">
        <v>1288</v>
      </c>
      <c r="E253" s="8" t="s">
        <v>1289</v>
      </c>
      <c r="F253" s="8" t="s">
        <v>116</v>
      </c>
      <c r="G253" s="8" t="s">
        <v>1290</v>
      </c>
      <c r="H253" s="8" t="s">
        <v>670</v>
      </c>
      <c r="I253" s="8" t="s">
        <v>1286</v>
      </c>
      <c r="J253" s="8" t="s">
        <v>1290</v>
      </c>
      <c r="K253" s="8" t="s">
        <v>1291</v>
      </c>
      <c r="L253" s="8" t="s">
        <v>51</v>
      </c>
      <c r="M253" s="8" t="s">
        <v>119</v>
      </c>
      <c r="N253" s="8" t="s">
        <v>1292</v>
      </c>
    </row>
    <row r="254" spans="1:14" s="1" customFormat="1" x14ac:dyDescent="0.25">
      <c r="A254" s="8" t="s">
        <v>1293</v>
      </c>
      <c r="B254" s="8" t="s">
        <v>73</v>
      </c>
      <c r="C254" s="8" t="s">
        <v>1294</v>
      </c>
      <c r="D254" s="8" t="s">
        <v>1294</v>
      </c>
      <c r="E254" s="8" t="s">
        <v>1295</v>
      </c>
      <c r="F254" s="8" t="s">
        <v>206</v>
      </c>
      <c r="G254" s="8" t="s">
        <v>1296</v>
      </c>
      <c r="H254" s="8" t="s">
        <v>1297</v>
      </c>
      <c r="I254" s="8" t="s">
        <v>1297</v>
      </c>
      <c r="J254" s="8" t="s">
        <v>1298</v>
      </c>
      <c r="K254" s="8" t="s">
        <v>148</v>
      </c>
      <c r="L254" s="8" t="s">
        <v>51</v>
      </c>
      <c r="M254" s="8" t="s">
        <v>210</v>
      </c>
      <c r="N254" s="8" t="s">
        <v>1299</v>
      </c>
    </row>
    <row r="255" spans="1:14" s="1" customFormat="1" x14ac:dyDescent="0.25">
      <c r="A255" s="8" t="s">
        <v>1293</v>
      </c>
      <c r="B255" s="8" t="s">
        <v>73</v>
      </c>
      <c r="C255" s="8" t="s">
        <v>1300</v>
      </c>
      <c r="D255" s="8" t="s">
        <v>1300</v>
      </c>
      <c r="E255" s="8" t="s">
        <v>1301</v>
      </c>
      <c r="F255" s="8" t="s">
        <v>76</v>
      </c>
      <c r="G255" s="8" t="s">
        <v>1302</v>
      </c>
      <c r="H255" s="8" t="s">
        <v>1297</v>
      </c>
      <c r="I255" s="8" t="s">
        <v>1297</v>
      </c>
      <c r="J255" s="8" t="s">
        <v>1303</v>
      </c>
      <c r="K255" s="8" t="s">
        <v>148</v>
      </c>
      <c r="L255" s="8" t="s">
        <v>51</v>
      </c>
      <c r="M255" s="8" t="s">
        <v>70</v>
      </c>
      <c r="N255" s="8" t="s">
        <v>1304</v>
      </c>
    </row>
    <row r="256" spans="1:14" s="1" customFormat="1" x14ac:dyDescent="0.25">
      <c r="A256" s="8" t="s">
        <v>1293</v>
      </c>
      <c r="B256" s="8" t="s">
        <v>73</v>
      </c>
      <c r="C256" s="8" t="s">
        <v>1305</v>
      </c>
      <c r="D256" s="8" t="s">
        <v>1305</v>
      </c>
      <c r="E256" s="8" t="s">
        <v>1306</v>
      </c>
      <c r="F256" s="8" t="s">
        <v>76</v>
      </c>
      <c r="G256" s="8" t="s">
        <v>1307</v>
      </c>
      <c r="H256" s="8" t="s">
        <v>1297</v>
      </c>
      <c r="I256" s="8" t="s">
        <v>1307</v>
      </c>
      <c r="J256" s="8" t="s">
        <v>1307</v>
      </c>
      <c r="K256" s="8" t="s">
        <v>1308</v>
      </c>
      <c r="L256" s="8" t="s">
        <v>51</v>
      </c>
      <c r="M256" s="8" t="s">
        <v>82</v>
      </c>
      <c r="N256" s="8" t="s">
        <v>1309</v>
      </c>
    </row>
    <row r="257" spans="1:14" s="1" customFormat="1" x14ac:dyDescent="0.25">
      <c r="A257" s="8" t="s">
        <v>1293</v>
      </c>
      <c r="B257" s="8" t="s">
        <v>73</v>
      </c>
      <c r="C257" s="8" t="s">
        <v>1310</v>
      </c>
      <c r="D257" s="8" t="s">
        <v>1311</v>
      </c>
      <c r="E257" s="8" t="s">
        <v>1312</v>
      </c>
      <c r="F257" s="8" t="s">
        <v>164</v>
      </c>
      <c r="G257" s="8" t="s">
        <v>1313</v>
      </c>
      <c r="H257" s="8" t="s">
        <v>1297</v>
      </c>
      <c r="I257" s="8" t="s">
        <v>1297</v>
      </c>
      <c r="J257" s="8" t="s">
        <v>1314</v>
      </c>
      <c r="K257" s="8" t="s">
        <v>1315</v>
      </c>
      <c r="L257" s="8" t="s">
        <v>51</v>
      </c>
      <c r="M257" s="8" t="s">
        <v>104</v>
      </c>
      <c r="N257" s="8" t="s">
        <v>1316</v>
      </c>
    </row>
    <row r="258" spans="1:14" s="1" customFormat="1" x14ac:dyDescent="0.25">
      <c r="A258" s="8" t="s">
        <v>1293</v>
      </c>
      <c r="B258" s="8" t="s">
        <v>73</v>
      </c>
      <c r="C258" s="8" t="s">
        <v>1317</v>
      </c>
      <c r="D258" s="8" t="s">
        <v>1317</v>
      </c>
      <c r="E258" s="8" t="s">
        <v>1318</v>
      </c>
      <c r="F258" s="8" t="s">
        <v>100</v>
      </c>
      <c r="G258" s="8" t="s">
        <v>1319</v>
      </c>
      <c r="H258" s="8" t="s">
        <v>1297</v>
      </c>
      <c r="I258" s="8" t="s">
        <v>1297</v>
      </c>
      <c r="J258" s="8" t="s">
        <v>1319</v>
      </c>
      <c r="K258" s="8" t="s">
        <v>1320</v>
      </c>
      <c r="L258" s="8" t="s">
        <v>51</v>
      </c>
      <c r="M258" s="8" t="s">
        <v>104</v>
      </c>
      <c r="N258" s="8" t="s">
        <v>1321</v>
      </c>
    </row>
    <row r="259" spans="1:14" s="1" customFormat="1" x14ac:dyDescent="0.25">
      <c r="A259" s="8" t="s">
        <v>1293</v>
      </c>
      <c r="B259" s="8" t="s">
        <v>73</v>
      </c>
      <c r="C259" s="8" t="s">
        <v>1322</v>
      </c>
      <c r="D259" s="8" t="s">
        <v>1322</v>
      </c>
      <c r="E259" s="8" t="s">
        <v>1323</v>
      </c>
      <c r="F259" s="8" t="s">
        <v>100</v>
      </c>
      <c r="G259" s="8" t="s">
        <v>1324</v>
      </c>
      <c r="H259" s="8" t="s">
        <v>1297</v>
      </c>
      <c r="I259" s="8" t="s">
        <v>1307</v>
      </c>
      <c r="J259" s="8" t="s">
        <v>1324</v>
      </c>
      <c r="K259" s="8" t="s">
        <v>1320</v>
      </c>
      <c r="L259" s="8" t="s">
        <v>51</v>
      </c>
      <c r="M259" s="8" t="s">
        <v>104</v>
      </c>
      <c r="N259" s="8" t="s">
        <v>1325</v>
      </c>
    </row>
    <row r="260" spans="1:14" s="1" customFormat="1" x14ac:dyDescent="0.25">
      <c r="A260" s="8" t="s">
        <v>1293</v>
      </c>
      <c r="B260" s="8" t="s">
        <v>73</v>
      </c>
      <c r="C260" s="8" t="s">
        <v>1326</v>
      </c>
      <c r="D260" s="8" t="s">
        <v>1326</v>
      </c>
      <c r="E260" s="8" t="s">
        <v>1327</v>
      </c>
      <c r="F260" s="8" t="s">
        <v>100</v>
      </c>
      <c r="G260" s="8" t="s">
        <v>1328</v>
      </c>
      <c r="H260" s="8" t="s">
        <v>1297</v>
      </c>
      <c r="I260" s="8" t="s">
        <v>1329</v>
      </c>
      <c r="J260" s="8" t="s">
        <v>1328</v>
      </c>
      <c r="K260" s="8" t="s">
        <v>1320</v>
      </c>
      <c r="L260" s="8" t="s">
        <v>51</v>
      </c>
      <c r="M260" s="8" t="s">
        <v>104</v>
      </c>
      <c r="N260" s="8" t="s">
        <v>1330</v>
      </c>
    </row>
    <row r="261" spans="1:14" s="1" customFormat="1" x14ac:dyDescent="0.25">
      <c r="A261" s="8" t="s">
        <v>1293</v>
      </c>
      <c r="B261" s="8" t="s">
        <v>73</v>
      </c>
      <c r="C261" s="8" t="s">
        <v>1331</v>
      </c>
      <c r="D261" s="8" t="s">
        <v>1331</v>
      </c>
      <c r="E261" s="8" t="s">
        <v>1332</v>
      </c>
      <c r="F261" s="8" t="s">
        <v>187</v>
      </c>
      <c r="G261" s="8" t="s">
        <v>1333</v>
      </c>
      <c r="H261" s="8" t="s">
        <v>1297</v>
      </c>
      <c r="I261" s="8" t="s">
        <v>1297</v>
      </c>
      <c r="J261" s="8" t="s">
        <v>1314</v>
      </c>
      <c r="K261" s="8" t="s">
        <v>190</v>
      </c>
      <c r="L261" s="8" t="s">
        <v>51</v>
      </c>
      <c r="M261" s="8" t="s">
        <v>119</v>
      </c>
      <c r="N261" s="8" t="s">
        <v>1334</v>
      </c>
    </row>
    <row r="262" spans="1:14" s="1" customFormat="1" x14ac:dyDescent="0.25">
      <c r="A262" s="8" t="s">
        <v>1293</v>
      </c>
      <c r="B262" s="8" t="s">
        <v>73</v>
      </c>
      <c r="C262" s="8" t="s">
        <v>1335</v>
      </c>
      <c r="D262" s="8" t="s">
        <v>1335</v>
      </c>
      <c r="E262" s="8" t="s">
        <v>1336</v>
      </c>
      <c r="F262" s="8" t="s">
        <v>187</v>
      </c>
      <c r="G262" s="8" t="s">
        <v>1337</v>
      </c>
      <c r="H262" s="8" t="s">
        <v>1297</v>
      </c>
      <c r="I262" s="8" t="s">
        <v>1297</v>
      </c>
      <c r="J262" s="8" t="s">
        <v>1338</v>
      </c>
      <c r="K262" s="8" t="s">
        <v>190</v>
      </c>
      <c r="L262" s="8" t="s">
        <v>51</v>
      </c>
      <c r="M262" s="8" t="s">
        <v>104</v>
      </c>
      <c r="N262" s="8" t="s">
        <v>1339</v>
      </c>
    </row>
    <row r="263" spans="1:14" s="1" customFormat="1" x14ac:dyDescent="0.25">
      <c r="A263" s="8" t="s">
        <v>1293</v>
      </c>
      <c r="B263" s="8" t="s">
        <v>73</v>
      </c>
      <c r="C263" s="8" t="s">
        <v>1340</v>
      </c>
      <c r="D263" s="8" t="s">
        <v>1340</v>
      </c>
      <c r="E263" s="8" t="s">
        <v>1341</v>
      </c>
      <c r="F263" s="8" t="s">
        <v>187</v>
      </c>
      <c r="G263" s="8" t="s">
        <v>1342</v>
      </c>
      <c r="H263" s="8" t="s">
        <v>1297</v>
      </c>
      <c r="I263" s="8" t="s">
        <v>1297</v>
      </c>
      <c r="J263" s="8" t="s">
        <v>1343</v>
      </c>
      <c r="K263" s="8" t="s">
        <v>1344</v>
      </c>
      <c r="L263" s="8" t="s">
        <v>51</v>
      </c>
      <c r="M263" s="8" t="s">
        <v>119</v>
      </c>
      <c r="N263" s="8" t="s">
        <v>1345</v>
      </c>
    </row>
    <row r="264" spans="1:14" s="1" customFormat="1" x14ac:dyDescent="0.25">
      <c r="A264" s="8" t="s">
        <v>1293</v>
      </c>
      <c r="B264" s="8" t="s">
        <v>73</v>
      </c>
      <c r="C264" s="8" t="s">
        <v>1346</v>
      </c>
      <c r="D264" s="8" t="s">
        <v>1346</v>
      </c>
      <c r="E264" s="8" t="s">
        <v>1347</v>
      </c>
      <c r="F264" s="8" t="s">
        <v>187</v>
      </c>
      <c r="G264" s="8" t="s">
        <v>542</v>
      </c>
      <c r="H264" s="8" t="s">
        <v>1297</v>
      </c>
      <c r="I264" s="8" t="s">
        <v>1297</v>
      </c>
      <c r="J264" s="8" t="s">
        <v>542</v>
      </c>
      <c r="K264" s="8" t="s">
        <v>190</v>
      </c>
      <c r="L264" s="8" t="s">
        <v>51</v>
      </c>
      <c r="M264" s="8" t="s">
        <v>119</v>
      </c>
      <c r="N264" s="8" t="s">
        <v>1348</v>
      </c>
    </row>
    <row r="265" spans="1:14" s="1" customFormat="1" x14ac:dyDescent="0.25">
      <c r="A265" s="8" t="s">
        <v>1293</v>
      </c>
      <c r="B265" s="8" t="s">
        <v>73</v>
      </c>
      <c r="C265" s="8" t="s">
        <v>1349</v>
      </c>
      <c r="D265" s="8" t="s">
        <v>1349</v>
      </c>
      <c r="E265" s="8" t="s">
        <v>1350</v>
      </c>
      <c r="F265" s="8" t="s">
        <v>187</v>
      </c>
      <c r="G265" s="8" t="s">
        <v>1351</v>
      </c>
      <c r="H265" s="8" t="s">
        <v>1297</v>
      </c>
      <c r="I265" s="8" t="s">
        <v>1307</v>
      </c>
      <c r="J265" s="8" t="s">
        <v>1351</v>
      </c>
      <c r="K265" s="8" t="s">
        <v>190</v>
      </c>
      <c r="L265" s="8" t="s">
        <v>51</v>
      </c>
      <c r="M265" s="8" t="s">
        <v>119</v>
      </c>
      <c r="N265" s="8" t="s">
        <v>1352</v>
      </c>
    </row>
    <row r="266" spans="1:14" s="1" customFormat="1" x14ac:dyDescent="0.25">
      <c r="A266" s="8" t="s">
        <v>1293</v>
      </c>
      <c r="B266" s="8" t="s">
        <v>73</v>
      </c>
      <c r="C266" s="8" t="s">
        <v>1353</v>
      </c>
      <c r="D266" s="8" t="s">
        <v>1353</v>
      </c>
      <c r="E266" s="8" t="s">
        <v>1354</v>
      </c>
      <c r="F266" s="8" t="s">
        <v>187</v>
      </c>
      <c r="G266" s="8" t="s">
        <v>1355</v>
      </c>
      <c r="H266" s="8" t="s">
        <v>1297</v>
      </c>
      <c r="I266" s="8" t="s">
        <v>1307</v>
      </c>
      <c r="J266" s="8" t="s">
        <v>1355</v>
      </c>
      <c r="K266" s="8" t="s">
        <v>190</v>
      </c>
      <c r="L266" s="8" t="s">
        <v>51</v>
      </c>
      <c r="M266" s="8" t="s">
        <v>119</v>
      </c>
      <c r="N266" s="8" t="s">
        <v>1356</v>
      </c>
    </row>
    <row r="267" spans="1:14" s="1" customFormat="1" x14ac:dyDescent="0.25">
      <c r="A267" s="8" t="s">
        <v>1357</v>
      </c>
      <c r="B267" s="8" t="s">
        <v>141</v>
      </c>
      <c r="C267" s="8" t="s">
        <v>1358</v>
      </c>
      <c r="D267" s="8" t="s">
        <v>1358</v>
      </c>
      <c r="E267" s="8" t="s">
        <v>1359</v>
      </c>
      <c r="F267" s="8" t="s">
        <v>144</v>
      </c>
      <c r="G267" s="8" t="s">
        <v>1360</v>
      </c>
      <c r="H267" s="8" t="s">
        <v>67</v>
      </c>
      <c r="I267" s="8" t="s">
        <v>67</v>
      </c>
      <c r="J267" s="8" t="s">
        <v>67</v>
      </c>
      <c r="K267" s="8" t="s">
        <v>148</v>
      </c>
      <c r="L267" s="8" t="s">
        <v>51</v>
      </c>
      <c r="M267" s="8" t="s">
        <v>256</v>
      </c>
      <c r="N267" s="8" t="s">
        <v>1361</v>
      </c>
    </row>
    <row r="268" spans="1:14" s="1" customFormat="1" x14ac:dyDescent="0.25">
      <c r="A268" s="8" t="s">
        <v>1357</v>
      </c>
      <c r="B268" s="8" t="s">
        <v>141</v>
      </c>
      <c r="C268" s="8" t="s">
        <v>1362</v>
      </c>
      <c r="D268" s="8" t="s">
        <v>1362</v>
      </c>
      <c r="E268" s="8" t="s">
        <v>1363</v>
      </c>
      <c r="F268" s="8" t="s">
        <v>206</v>
      </c>
      <c r="G268" s="8" t="s">
        <v>1364</v>
      </c>
      <c r="H268" s="8" t="s">
        <v>67</v>
      </c>
      <c r="I268" s="8" t="s">
        <v>67</v>
      </c>
      <c r="J268" s="8" t="s">
        <v>67</v>
      </c>
      <c r="K268" s="8" t="s">
        <v>1365</v>
      </c>
      <c r="L268" s="8" t="s">
        <v>51</v>
      </c>
      <c r="M268" s="8" t="s">
        <v>82</v>
      </c>
      <c r="N268" s="8" t="s">
        <v>1366</v>
      </c>
    </row>
    <row r="269" spans="1:14" s="1" customFormat="1" x14ac:dyDescent="0.25">
      <c r="A269" s="8" t="s">
        <v>1357</v>
      </c>
      <c r="B269" s="8" t="s">
        <v>141</v>
      </c>
      <c r="C269" s="8" t="s">
        <v>1367</v>
      </c>
      <c r="D269" s="8" t="s">
        <v>1367</v>
      </c>
      <c r="E269" s="8" t="s">
        <v>1368</v>
      </c>
      <c r="F269" s="8" t="s">
        <v>206</v>
      </c>
      <c r="G269" s="8" t="s">
        <v>1369</v>
      </c>
      <c r="H269" s="8" t="s">
        <v>67</v>
      </c>
      <c r="I269" s="8" t="s">
        <v>1369</v>
      </c>
      <c r="J269" s="8" t="s">
        <v>1370</v>
      </c>
      <c r="K269" s="8" t="s">
        <v>1371</v>
      </c>
      <c r="L269" s="8" t="s">
        <v>51</v>
      </c>
      <c r="M269" s="8" t="s">
        <v>82</v>
      </c>
      <c r="N269" s="8" t="s">
        <v>1372</v>
      </c>
    </row>
    <row r="270" spans="1:14" s="1" customFormat="1" x14ac:dyDescent="0.25">
      <c r="A270" s="8" t="s">
        <v>1357</v>
      </c>
      <c r="B270" s="8" t="s">
        <v>141</v>
      </c>
      <c r="C270" s="8" t="s">
        <v>1373</v>
      </c>
      <c r="D270" s="8" t="s">
        <v>1373</v>
      </c>
      <c r="E270" s="8" t="s">
        <v>1374</v>
      </c>
      <c r="F270" s="8" t="s">
        <v>76</v>
      </c>
      <c r="G270" s="8" t="s">
        <v>1375</v>
      </c>
      <c r="H270" s="8" t="s">
        <v>67</v>
      </c>
      <c r="I270" s="8" t="s">
        <v>1376</v>
      </c>
      <c r="J270" s="8" t="s">
        <v>1376</v>
      </c>
      <c r="K270" s="8" t="s">
        <v>1377</v>
      </c>
      <c r="L270" s="8" t="s">
        <v>51</v>
      </c>
      <c r="M270" s="8" t="s">
        <v>154</v>
      </c>
      <c r="N270" s="8" t="s">
        <v>1378</v>
      </c>
    </row>
    <row r="271" spans="1:14" s="1" customFormat="1" x14ac:dyDescent="0.25">
      <c r="A271" s="8" t="s">
        <v>1357</v>
      </c>
      <c r="B271" s="8" t="s">
        <v>141</v>
      </c>
      <c r="C271" s="8" t="s">
        <v>1379</v>
      </c>
      <c r="D271" s="8" t="s">
        <v>1379</v>
      </c>
      <c r="E271" s="8" t="s">
        <v>1380</v>
      </c>
      <c r="F271" s="8" t="s">
        <v>76</v>
      </c>
      <c r="G271" s="8" t="s">
        <v>1381</v>
      </c>
      <c r="H271" s="8" t="s">
        <v>67</v>
      </c>
      <c r="I271" s="8" t="s">
        <v>1381</v>
      </c>
      <c r="J271" s="8" t="s">
        <v>1381</v>
      </c>
      <c r="K271" s="8" t="s">
        <v>148</v>
      </c>
      <c r="L271" s="8" t="s">
        <v>51</v>
      </c>
      <c r="M271" s="8" t="s">
        <v>154</v>
      </c>
      <c r="N271" s="8" t="s">
        <v>1382</v>
      </c>
    </row>
    <row r="272" spans="1:14" s="1" customFormat="1" x14ac:dyDescent="0.25">
      <c r="A272" s="8" t="s">
        <v>1357</v>
      </c>
      <c r="B272" s="8" t="s">
        <v>141</v>
      </c>
      <c r="C272" s="8" t="s">
        <v>1383</v>
      </c>
      <c r="D272" s="8" t="s">
        <v>1383</v>
      </c>
      <c r="E272" s="8" t="s">
        <v>1384</v>
      </c>
      <c r="F272" s="8" t="s">
        <v>288</v>
      </c>
      <c r="G272" s="8" t="s">
        <v>1385</v>
      </c>
      <c r="H272" s="8" t="s">
        <v>67</v>
      </c>
      <c r="I272" s="8" t="s">
        <v>67</v>
      </c>
      <c r="J272" s="8" t="s">
        <v>1385</v>
      </c>
      <c r="K272" s="8" t="s">
        <v>1386</v>
      </c>
      <c r="L272" s="8" t="s">
        <v>51</v>
      </c>
      <c r="M272" s="8" t="s">
        <v>104</v>
      </c>
      <c r="N272" s="8" t="s">
        <v>1387</v>
      </c>
    </row>
    <row r="273" spans="1:14" s="1" customFormat="1" x14ac:dyDescent="0.25">
      <c r="A273" s="8" t="s">
        <v>1357</v>
      </c>
      <c r="B273" s="8" t="s">
        <v>141</v>
      </c>
      <c r="C273" s="8" t="s">
        <v>1388</v>
      </c>
      <c r="D273" s="8" t="s">
        <v>1389</v>
      </c>
      <c r="E273" s="8" t="s">
        <v>1390</v>
      </c>
      <c r="F273" s="8" t="s">
        <v>288</v>
      </c>
      <c r="G273" s="8" t="s">
        <v>1391</v>
      </c>
      <c r="H273" s="8" t="s">
        <v>67</v>
      </c>
      <c r="I273" s="8" t="s">
        <v>67</v>
      </c>
      <c r="J273" s="8" t="s">
        <v>67</v>
      </c>
      <c r="K273" s="8" t="s">
        <v>1392</v>
      </c>
      <c r="L273" s="8" t="s">
        <v>51</v>
      </c>
      <c r="M273" s="8" t="s">
        <v>119</v>
      </c>
      <c r="N273" s="8" t="s">
        <v>1393</v>
      </c>
    </row>
    <row r="274" spans="1:14" s="1" customFormat="1" x14ac:dyDescent="0.25">
      <c r="A274" s="8" t="s">
        <v>1357</v>
      </c>
      <c r="B274" s="8" t="s">
        <v>141</v>
      </c>
      <c r="C274" s="8" t="s">
        <v>1394</v>
      </c>
      <c r="D274" s="8" t="s">
        <v>1394</v>
      </c>
      <c r="E274" s="8" t="s">
        <v>1395</v>
      </c>
      <c r="F274" s="8" t="s">
        <v>288</v>
      </c>
      <c r="G274" s="8" t="s">
        <v>68</v>
      </c>
      <c r="H274" s="8" t="s">
        <v>67</v>
      </c>
      <c r="I274" s="8" t="s">
        <v>67</v>
      </c>
      <c r="J274" s="8" t="s">
        <v>68</v>
      </c>
      <c r="K274" s="8" t="s">
        <v>1396</v>
      </c>
      <c r="L274" s="8" t="s">
        <v>51</v>
      </c>
      <c r="M274" s="8" t="s">
        <v>104</v>
      </c>
      <c r="N274" s="8" t="s">
        <v>1397</v>
      </c>
    </row>
    <row r="275" spans="1:14" s="1" customFormat="1" x14ac:dyDescent="0.25">
      <c r="A275" s="8" t="s">
        <v>1357</v>
      </c>
      <c r="B275" s="8" t="s">
        <v>141</v>
      </c>
      <c r="C275" s="8" t="s">
        <v>1398</v>
      </c>
      <c r="D275" s="8" t="s">
        <v>1399</v>
      </c>
      <c r="E275" s="8" t="s">
        <v>1400</v>
      </c>
      <c r="F275" s="8" t="s">
        <v>164</v>
      </c>
      <c r="G275" s="8" t="s">
        <v>1401</v>
      </c>
      <c r="H275" s="8" t="s">
        <v>67</v>
      </c>
      <c r="I275" s="8" t="s">
        <v>1369</v>
      </c>
      <c r="J275" s="8" t="s">
        <v>1401</v>
      </c>
      <c r="K275" s="8" t="s">
        <v>1402</v>
      </c>
      <c r="L275" s="8" t="s">
        <v>51</v>
      </c>
      <c r="M275" s="8" t="s">
        <v>119</v>
      </c>
      <c r="N275" s="8" t="s">
        <v>1403</v>
      </c>
    </row>
    <row r="276" spans="1:14" s="1" customFormat="1" x14ac:dyDescent="0.25">
      <c r="A276" s="8" t="s">
        <v>1357</v>
      </c>
      <c r="B276" s="8" t="s">
        <v>141</v>
      </c>
      <c r="C276" s="8" t="s">
        <v>1404</v>
      </c>
      <c r="D276" s="8" t="s">
        <v>929</v>
      </c>
      <c r="E276" s="8" t="s">
        <v>1405</v>
      </c>
      <c r="F276" s="8" t="s">
        <v>164</v>
      </c>
      <c r="G276" s="8" t="s">
        <v>1406</v>
      </c>
      <c r="H276" s="8" t="s">
        <v>67</v>
      </c>
      <c r="I276" s="8" t="s">
        <v>67</v>
      </c>
      <c r="J276" s="8" t="s">
        <v>357</v>
      </c>
      <c r="K276" s="8" t="s">
        <v>1407</v>
      </c>
      <c r="L276" s="8" t="s">
        <v>51</v>
      </c>
      <c r="M276" s="8" t="s">
        <v>104</v>
      </c>
      <c r="N276" s="8" t="s">
        <v>1408</v>
      </c>
    </row>
    <row r="277" spans="1:14" s="1" customFormat="1" x14ac:dyDescent="0.25">
      <c r="A277" s="8" t="s">
        <v>1357</v>
      </c>
      <c r="B277" s="8" t="s">
        <v>141</v>
      </c>
      <c r="C277" s="8" t="s">
        <v>1409</v>
      </c>
      <c r="D277" s="8" t="s">
        <v>1410</v>
      </c>
      <c r="E277" s="8" t="s">
        <v>1411</v>
      </c>
      <c r="F277" s="8" t="s">
        <v>164</v>
      </c>
      <c r="G277" s="8" t="s">
        <v>1412</v>
      </c>
      <c r="H277" s="8" t="s">
        <v>67</v>
      </c>
      <c r="I277" s="8" t="s">
        <v>67</v>
      </c>
      <c r="J277" s="8" t="s">
        <v>1413</v>
      </c>
      <c r="K277" s="8" t="s">
        <v>1414</v>
      </c>
      <c r="L277" s="8" t="s">
        <v>51</v>
      </c>
      <c r="M277" s="8" t="s">
        <v>119</v>
      </c>
      <c r="N277" s="8" t="s">
        <v>1415</v>
      </c>
    </row>
    <row r="278" spans="1:14" s="1" customFormat="1" x14ac:dyDescent="0.25">
      <c r="A278" s="8" t="s">
        <v>1357</v>
      </c>
      <c r="B278" s="8" t="s">
        <v>141</v>
      </c>
      <c r="C278" s="8" t="s">
        <v>1416</v>
      </c>
      <c r="D278" s="8" t="s">
        <v>1416</v>
      </c>
      <c r="E278" s="8" t="s">
        <v>1417</v>
      </c>
      <c r="F278" s="8" t="s">
        <v>100</v>
      </c>
      <c r="G278" s="8" t="s">
        <v>1418</v>
      </c>
      <c r="H278" s="8" t="s">
        <v>67</v>
      </c>
      <c r="I278" s="8" t="s">
        <v>1419</v>
      </c>
      <c r="J278" s="8" t="s">
        <v>1418</v>
      </c>
      <c r="K278" s="8" t="s">
        <v>1420</v>
      </c>
      <c r="L278" s="8" t="s">
        <v>51</v>
      </c>
      <c r="M278" s="8" t="s">
        <v>104</v>
      </c>
      <c r="N278" s="8" t="s">
        <v>1421</v>
      </c>
    </row>
    <row r="279" spans="1:14" s="1" customFormat="1" x14ac:dyDescent="0.25">
      <c r="A279" s="8" t="s">
        <v>1357</v>
      </c>
      <c r="B279" s="8" t="s">
        <v>141</v>
      </c>
      <c r="C279" s="8" t="s">
        <v>1422</v>
      </c>
      <c r="D279" s="8" t="s">
        <v>1422</v>
      </c>
      <c r="E279" s="8" t="s">
        <v>1423</v>
      </c>
      <c r="F279" s="8" t="s">
        <v>187</v>
      </c>
      <c r="G279" s="8" t="s">
        <v>1424</v>
      </c>
      <c r="H279" s="8" t="s">
        <v>67</v>
      </c>
      <c r="I279" s="8" t="s">
        <v>1424</v>
      </c>
      <c r="J279" s="8" t="s">
        <v>1424</v>
      </c>
      <c r="K279" s="8" t="s">
        <v>190</v>
      </c>
      <c r="L279" s="8" t="s">
        <v>51</v>
      </c>
      <c r="M279" s="8" t="s">
        <v>119</v>
      </c>
      <c r="N279" s="8" t="s">
        <v>1425</v>
      </c>
    </row>
    <row r="280" spans="1:14" s="1" customFormat="1" x14ac:dyDescent="0.25">
      <c r="A280" s="8" t="s">
        <v>1357</v>
      </c>
      <c r="B280" s="8" t="s">
        <v>141</v>
      </c>
      <c r="C280" s="8" t="s">
        <v>1426</v>
      </c>
      <c r="D280" s="8" t="s">
        <v>1426</v>
      </c>
      <c r="E280" s="8" t="s">
        <v>1427</v>
      </c>
      <c r="F280" s="8" t="s">
        <v>187</v>
      </c>
      <c r="G280" s="8" t="s">
        <v>1428</v>
      </c>
      <c r="H280" s="8" t="s">
        <v>67</v>
      </c>
      <c r="I280" s="8" t="s">
        <v>1429</v>
      </c>
      <c r="J280" s="8" t="s">
        <v>1428</v>
      </c>
      <c r="K280" s="8" t="s">
        <v>190</v>
      </c>
      <c r="L280" s="8" t="s">
        <v>51</v>
      </c>
      <c r="M280" s="8" t="s">
        <v>119</v>
      </c>
      <c r="N280" s="8" t="s">
        <v>1430</v>
      </c>
    </row>
    <row r="281" spans="1:14" s="1" customFormat="1" x14ac:dyDescent="0.25">
      <c r="A281" s="8" t="s">
        <v>1357</v>
      </c>
      <c r="B281" s="8" t="s">
        <v>141</v>
      </c>
      <c r="C281" s="8" t="s">
        <v>1431</v>
      </c>
      <c r="D281" s="8" t="s">
        <v>1431</v>
      </c>
      <c r="E281" s="8" t="s">
        <v>1432</v>
      </c>
      <c r="F281" s="8" t="s">
        <v>187</v>
      </c>
      <c r="G281" s="8" t="s">
        <v>1429</v>
      </c>
      <c r="H281" s="8" t="s">
        <v>67</v>
      </c>
      <c r="I281" s="8" t="s">
        <v>1429</v>
      </c>
      <c r="J281" s="8" t="s">
        <v>1429</v>
      </c>
      <c r="K281" s="8" t="s">
        <v>190</v>
      </c>
      <c r="L281" s="8" t="s">
        <v>51</v>
      </c>
      <c r="M281" s="8" t="s">
        <v>119</v>
      </c>
      <c r="N281" s="8" t="s">
        <v>1433</v>
      </c>
    </row>
    <row r="282" spans="1:14" s="1" customFormat="1" x14ac:dyDescent="0.25">
      <c r="A282" s="8" t="s">
        <v>1357</v>
      </c>
      <c r="B282" s="8" t="s">
        <v>141</v>
      </c>
      <c r="C282" s="8" t="s">
        <v>1434</v>
      </c>
      <c r="D282" s="8" t="s">
        <v>1434</v>
      </c>
      <c r="E282" s="8" t="s">
        <v>1435</v>
      </c>
      <c r="F282" s="8" t="s">
        <v>187</v>
      </c>
      <c r="G282" s="8" t="s">
        <v>1436</v>
      </c>
      <c r="H282" s="8" t="s">
        <v>67</v>
      </c>
      <c r="I282" s="8" t="s">
        <v>1381</v>
      </c>
      <c r="J282" s="8" t="s">
        <v>1436</v>
      </c>
      <c r="K282" s="8" t="s">
        <v>190</v>
      </c>
      <c r="L282" s="8" t="s">
        <v>51</v>
      </c>
      <c r="M282" s="8" t="s">
        <v>119</v>
      </c>
      <c r="N282" s="8" t="s">
        <v>1437</v>
      </c>
    </row>
    <row r="283" spans="1:14" s="1" customFormat="1" x14ac:dyDescent="0.25">
      <c r="A283" s="8" t="s">
        <v>1357</v>
      </c>
      <c r="B283" s="8" t="s">
        <v>141</v>
      </c>
      <c r="C283" s="8" t="s">
        <v>1438</v>
      </c>
      <c r="D283" s="8" t="s">
        <v>1438</v>
      </c>
      <c r="E283" s="8" t="s">
        <v>1439</v>
      </c>
      <c r="F283" s="8" t="s">
        <v>187</v>
      </c>
      <c r="G283" s="8" t="s">
        <v>1440</v>
      </c>
      <c r="H283" s="8" t="s">
        <v>67</v>
      </c>
      <c r="I283" s="8" t="s">
        <v>1369</v>
      </c>
      <c r="J283" s="8" t="s">
        <v>1440</v>
      </c>
      <c r="K283" s="8" t="s">
        <v>190</v>
      </c>
      <c r="L283" s="8" t="s">
        <v>51</v>
      </c>
      <c r="M283" s="8" t="s">
        <v>119</v>
      </c>
      <c r="N283" s="8" t="s">
        <v>1441</v>
      </c>
    </row>
    <row r="284" spans="1:14" s="1" customFormat="1" x14ac:dyDescent="0.25">
      <c r="A284" s="8" t="s">
        <v>1357</v>
      </c>
      <c r="B284" s="8" t="s">
        <v>141</v>
      </c>
      <c r="C284" s="8" t="s">
        <v>1442</v>
      </c>
      <c r="D284" s="8" t="s">
        <v>1442</v>
      </c>
      <c r="E284" s="8" t="s">
        <v>1443</v>
      </c>
      <c r="F284" s="8" t="s">
        <v>187</v>
      </c>
      <c r="G284" s="8" t="s">
        <v>1419</v>
      </c>
      <c r="H284" s="8" t="s">
        <v>67</v>
      </c>
      <c r="I284" s="8" t="s">
        <v>1419</v>
      </c>
      <c r="J284" s="8" t="s">
        <v>1419</v>
      </c>
      <c r="K284" s="8" t="s">
        <v>190</v>
      </c>
      <c r="L284" s="8" t="s">
        <v>51</v>
      </c>
      <c r="M284" s="8" t="s">
        <v>119</v>
      </c>
      <c r="N284" s="8" t="s">
        <v>1444</v>
      </c>
    </row>
    <row r="285" spans="1:14" s="1" customFormat="1" x14ac:dyDescent="0.25">
      <c r="A285" s="8" t="s">
        <v>1357</v>
      </c>
      <c r="B285" s="8" t="s">
        <v>141</v>
      </c>
      <c r="C285" s="8" t="s">
        <v>1445</v>
      </c>
      <c r="D285" s="8" t="s">
        <v>1445</v>
      </c>
      <c r="E285" s="8" t="s">
        <v>1446</v>
      </c>
      <c r="F285" s="8" t="s">
        <v>187</v>
      </c>
      <c r="G285" s="8" t="s">
        <v>1447</v>
      </c>
      <c r="H285" s="8" t="s">
        <v>67</v>
      </c>
      <c r="I285" s="8" t="s">
        <v>1369</v>
      </c>
      <c r="J285" s="8" t="s">
        <v>1448</v>
      </c>
      <c r="K285" s="8" t="s">
        <v>190</v>
      </c>
      <c r="L285" s="8" t="s">
        <v>51</v>
      </c>
      <c r="M285" s="8" t="s">
        <v>119</v>
      </c>
      <c r="N285" s="8" t="s">
        <v>1449</v>
      </c>
    </row>
    <row r="286" spans="1:14" s="1" customFormat="1" x14ac:dyDescent="0.25">
      <c r="A286" s="8" t="s">
        <v>1357</v>
      </c>
      <c r="B286" s="8" t="s">
        <v>141</v>
      </c>
      <c r="C286" s="8" t="s">
        <v>1450</v>
      </c>
      <c r="D286" s="8" t="s">
        <v>1450</v>
      </c>
      <c r="E286" s="8" t="s">
        <v>1451</v>
      </c>
      <c r="F286" s="8" t="s">
        <v>187</v>
      </c>
      <c r="G286" s="8" t="s">
        <v>1452</v>
      </c>
      <c r="H286" s="8" t="s">
        <v>67</v>
      </c>
      <c r="I286" s="8" t="s">
        <v>1452</v>
      </c>
      <c r="J286" s="8" t="s">
        <v>1452</v>
      </c>
      <c r="K286" s="8" t="s">
        <v>190</v>
      </c>
      <c r="L286" s="8" t="s">
        <v>51</v>
      </c>
      <c r="M286" s="8" t="s">
        <v>119</v>
      </c>
      <c r="N286" s="8" t="s">
        <v>1453</v>
      </c>
    </row>
    <row r="287" spans="1:14" s="1" customFormat="1" x14ac:dyDescent="0.25">
      <c r="A287" s="8" t="s">
        <v>1454</v>
      </c>
      <c r="B287" s="8" t="s">
        <v>141</v>
      </c>
      <c r="C287" s="8" t="s">
        <v>1455</v>
      </c>
      <c r="D287" s="8" t="s">
        <v>1455</v>
      </c>
      <c r="E287" s="8" t="s">
        <v>1456</v>
      </c>
      <c r="F287" s="8" t="s">
        <v>144</v>
      </c>
      <c r="G287" s="8" t="s">
        <v>834</v>
      </c>
      <c r="H287" s="8" t="s">
        <v>834</v>
      </c>
      <c r="I287" s="8" t="s">
        <v>834</v>
      </c>
      <c r="J287" s="8" t="s">
        <v>834</v>
      </c>
      <c r="K287" s="8" t="s">
        <v>1457</v>
      </c>
      <c r="L287" s="8" t="s">
        <v>51</v>
      </c>
      <c r="M287" s="8" t="s">
        <v>210</v>
      </c>
      <c r="N287" s="8" t="s">
        <v>1458</v>
      </c>
    </row>
    <row r="288" spans="1:14" s="1" customFormat="1" x14ac:dyDescent="0.25">
      <c r="A288" s="8" t="s">
        <v>1454</v>
      </c>
      <c r="B288" s="8" t="s">
        <v>141</v>
      </c>
      <c r="C288" s="8" t="s">
        <v>1459</v>
      </c>
      <c r="D288" s="8" t="s">
        <v>1459</v>
      </c>
      <c r="E288" s="8" t="s">
        <v>1460</v>
      </c>
      <c r="F288" s="8" t="s">
        <v>76</v>
      </c>
      <c r="G288" s="8" t="s">
        <v>1461</v>
      </c>
      <c r="H288" s="8" t="s">
        <v>834</v>
      </c>
      <c r="I288" s="8" t="s">
        <v>834</v>
      </c>
      <c r="J288" s="8" t="s">
        <v>834</v>
      </c>
      <c r="K288" s="8" t="s">
        <v>1462</v>
      </c>
      <c r="L288" s="8" t="s">
        <v>51</v>
      </c>
      <c r="M288" s="8" t="s">
        <v>70</v>
      </c>
      <c r="N288" s="8" t="s">
        <v>1463</v>
      </c>
    </row>
    <row r="289" spans="1:14" s="1" customFormat="1" x14ac:dyDescent="0.25">
      <c r="A289" s="8" t="s">
        <v>1454</v>
      </c>
      <c r="B289" s="8" t="s">
        <v>141</v>
      </c>
      <c r="C289" s="8" t="s">
        <v>1464</v>
      </c>
      <c r="D289" s="8" t="s">
        <v>63</v>
      </c>
      <c r="E289" s="8" t="s">
        <v>1465</v>
      </c>
      <c r="F289" s="8" t="s">
        <v>158</v>
      </c>
      <c r="G289" s="8" t="s">
        <v>1466</v>
      </c>
      <c r="H289" s="8" t="s">
        <v>834</v>
      </c>
      <c r="I289" s="8" t="s">
        <v>1467</v>
      </c>
      <c r="J289" s="8" t="s">
        <v>1466</v>
      </c>
      <c r="K289" s="8" t="s">
        <v>1468</v>
      </c>
      <c r="L289" s="8" t="s">
        <v>51</v>
      </c>
      <c r="M289" s="8" t="s">
        <v>104</v>
      </c>
      <c r="N289" s="8" t="s">
        <v>1469</v>
      </c>
    </row>
    <row r="290" spans="1:14" s="1" customFormat="1" x14ac:dyDescent="0.25">
      <c r="A290" s="8" t="s">
        <v>1454</v>
      </c>
      <c r="B290" s="8" t="s">
        <v>141</v>
      </c>
      <c r="C290" s="8" t="s">
        <v>1470</v>
      </c>
      <c r="D290" s="8" t="s">
        <v>1470</v>
      </c>
      <c r="E290" s="8" t="s">
        <v>1471</v>
      </c>
      <c r="F290" s="8" t="s">
        <v>288</v>
      </c>
      <c r="G290" s="8" t="s">
        <v>1472</v>
      </c>
      <c r="H290" s="8" t="s">
        <v>834</v>
      </c>
      <c r="I290" s="8" t="s">
        <v>834</v>
      </c>
      <c r="J290" s="8" t="s">
        <v>834</v>
      </c>
      <c r="K290" s="8" t="s">
        <v>1473</v>
      </c>
      <c r="L290" s="8" t="s">
        <v>51</v>
      </c>
      <c r="M290" s="8" t="s">
        <v>104</v>
      </c>
      <c r="N290" s="8" t="s">
        <v>1469</v>
      </c>
    </row>
    <row r="291" spans="1:14" s="1" customFormat="1" x14ac:dyDescent="0.25">
      <c r="A291" s="8" t="s">
        <v>1454</v>
      </c>
      <c r="B291" s="8" t="s">
        <v>141</v>
      </c>
      <c r="C291" s="8" t="s">
        <v>1474</v>
      </c>
      <c r="D291" s="8" t="s">
        <v>1474</v>
      </c>
      <c r="E291" s="8" t="s">
        <v>1475</v>
      </c>
      <c r="F291" s="8" t="s">
        <v>100</v>
      </c>
      <c r="G291" s="8" t="s">
        <v>1476</v>
      </c>
      <c r="H291" s="8" t="s">
        <v>834</v>
      </c>
      <c r="I291" s="8" t="s">
        <v>834</v>
      </c>
      <c r="J291" s="8" t="s">
        <v>1476</v>
      </c>
      <c r="K291" s="8" t="s">
        <v>1477</v>
      </c>
      <c r="L291" s="8" t="s">
        <v>51</v>
      </c>
      <c r="M291" s="8" t="s">
        <v>104</v>
      </c>
      <c r="N291" s="8" t="s">
        <v>1469</v>
      </c>
    </row>
    <row r="292" spans="1:14" s="1" customFormat="1" x14ac:dyDescent="0.25">
      <c r="A292" s="8" t="s">
        <v>1454</v>
      </c>
      <c r="B292" s="8" t="s">
        <v>141</v>
      </c>
      <c r="C292" s="8" t="s">
        <v>1478</v>
      </c>
      <c r="D292" s="8" t="s">
        <v>1478</v>
      </c>
      <c r="E292" s="8" t="s">
        <v>1479</v>
      </c>
      <c r="F292" s="8" t="s">
        <v>187</v>
      </c>
      <c r="G292" s="8" t="s">
        <v>1480</v>
      </c>
      <c r="H292" s="8" t="s">
        <v>834</v>
      </c>
      <c r="I292" s="8" t="s">
        <v>1481</v>
      </c>
      <c r="J292" s="8" t="s">
        <v>1480</v>
      </c>
      <c r="K292" s="8" t="s">
        <v>836</v>
      </c>
      <c r="L292" s="8" t="s">
        <v>51</v>
      </c>
      <c r="M292" s="8" t="s">
        <v>104</v>
      </c>
      <c r="N292" s="8" t="s">
        <v>1469</v>
      </c>
    </row>
    <row r="293" spans="1:14" s="1" customFormat="1" x14ac:dyDescent="0.25">
      <c r="A293" s="8" t="s">
        <v>1454</v>
      </c>
      <c r="B293" s="8" t="s">
        <v>141</v>
      </c>
      <c r="C293" s="8" t="s">
        <v>1482</v>
      </c>
      <c r="D293" s="8" t="s">
        <v>1482</v>
      </c>
      <c r="E293" s="8" t="s">
        <v>1483</v>
      </c>
      <c r="F293" s="8" t="s">
        <v>187</v>
      </c>
      <c r="G293" s="8" t="s">
        <v>1484</v>
      </c>
      <c r="H293" s="8" t="s">
        <v>834</v>
      </c>
      <c r="I293" s="8" t="s">
        <v>1484</v>
      </c>
      <c r="J293" s="8" t="s">
        <v>1484</v>
      </c>
      <c r="K293" s="8" t="s">
        <v>836</v>
      </c>
      <c r="L293" s="8" t="s">
        <v>51</v>
      </c>
      <c r="M293" s="8" t="s">
        <v>104</v>
      </c>
      <c r="N293" s="8" t="s">
        <v>1469</v>
      </c>
    </row>
    <row r="294" spans="1:14" s="1" customFormat="1" x14ac:dyDescent="0.25">
      <c r="A294" s="8" t="s">
        <v>1454</v>
      </c>
      <c r="B294" s="8" t="s">
        <v>141</v>
      </c>
      <c r="C294" s="8" t="s">
        <v>1485</v>
      </c>
      <c r="D294" s="8" t="s">
        <v>1485</v>
      </c>
      <c r="E294" s="8" t="s">
        <v>1486</v>
      </c>
      <c r="F294" s="8" t="s">
        <v>116</v>
      </c>
      <c r="G294" s="8" t="s">
        <v>1487</v>
      </c>
      <c r="H294" s="8" t="s">
        <v>834</v>
      </c>
      <c r="I294" s="8" t="s">
        <v>1481</v>
      </c>
      <c r="J294" s="8" t="s">
        <v>1487</v>
      </c>
      <c r="K294" s="8" t="s">
        <v>1477</v>
      </c>
      <c r="L294" s="8" t="s">
        <v>51</v>
      </c>
      <c r="M294" s="8" t="s">
        <v>104</v>
      </c>
      <c r="N294" s="8" t="s">
        <v>1469</v>
      </c>
    </row>
    <row r="295" spans="1:14" s="1" customFormat="1" x14ac:dyDescent="0.25">
      <c r="A295" s="8" t="s">
        <v>1454</v>
      </c>
      <c r="B295" s="8" t="s">
        <v>141</v>
      </c>
      <c r="C295" s="8" t="s">
        <v>1488</v>
      </c>
      <c r="D295" s="8" t="s">
        <v>1488</v>
      </c>
      <c r="E295" s="8" t="s">
        <v>1489</v>
      </c>
      <c r="F295" s="8" t="s">
        <v>116</v>
      </c>
      <c r="G295" s="8" t="s">
        <v>1490</v>
      </c>
      <c r="H295" s="8" t="s">
        <v>834</v>
      </c>
      <c r="I295" s="8" t="s">
        <v>834</v>
      </c>
      <c r="J295" s="8" t="s">
        <v>1491</v>
      </c>
      <c r="K295" s="8" t="s">
        <v>1492</v>
      </c>
      <c r="L295" s="8" t="s">
        <v>51</v>
      </c>
      <c r="M295" s="8" t="s">
        <v>104</v>
      </c>
      <c r="N295" s="8" t="s">
        <v>1469</v>
      </c>
    </row>
    <row r="296" spans="1:14" s="1" customFormat="1" x14ac:dyDescent="0.25">
      <c r="A296" s="8" t="s">
        <v>1493</v>
      </c>
      <c r="B296" s="8" t="s">
        <v>73</v>
      </c>
      <c r="C296" s="8" t="s">
        <v>1494</v>
      </c>
      <c r="D296" s="8" t="s">
        <v>1494</v>
      </c>
      <c r="E296" s="8" t="s">
        <v>1495</v>
      </c>
      <c r="F296" s="8" t="s">
        <v>144</v>
      </c>
      <c r="G296" s="8" t="s">
        <v>1496</v>
      </c>
      <c r="H296" s="8" t="s">
        <v>1497</v>
      </c>
      <c r="I296" s="8" t="s">
        <v>1497</v>
      </c>
      <c r="J296" s="8" t="s">
        <v>1498</v>
      </c>
      <c r="K296" s="8" t="s">
        <v>1499</v>
      </c>
      <c r="L296" s="8" t="s">
        <v>51</v>
      </c>
      <c r="M296" s="8" t="s">
        <v>210</v>
      </c>
      <c r="N296" s="8" t="s">
        <v>1500</v>
      </c>
    </row>
    <row r="297" spans="1:14" s="1" customFormat="1" x14ac:dyDescent="0.25">
      <c r="A297" s="8" t="s">
        <v>1493</v>
      </c>
      <c r="B297" s="8" t="s">
        <v>73</v>
      </c>
      <c r="C297" s="8" t="s">
        <v>1501</v>
      </c>
      <c r="D297" s="8" t="s">
        <v>1502</v>
      </c>
      <c r="E297" s="8" t="s">
        <v>1503</v>
      </c>
      <c r="F297" s="8" t="s">
        <v>288</v>
      </c>
      <c r="G297" s="8" t="s">
        <v>1504</v>
      </c>
      <c r="H297" s="8" t="s">
        <v>1497</v>
      </c>
      <c r="I297" s="8" t="s">
        <v>1497</v>
      </c>
      <c r="J297" s="8" t="s">
        <v>1497</v>
      </c>
      <c r="K297" s="8" t="s">
        <v>1505</v>
      </c>
      <c r="L297" s="8" t="s">
        <v>51</v>
      </c>
      <c r="M297" s="8" t="s">
        <v>104</v>
      </c>
      <c r="N297" s="8" t="s">
        <v>1506</v>
      </c>
    </row>
    <row r="298" spans="1:14" s="1" customFormat="1" x14ac:dyDescent="0.25">
      <c r="A298" s="8" t="s">
        <v>1493</v>
      </c>
      <c r="B298" s="8" t="s">
        <v>73</v>
      </c>
      <c r="C298" s="8" t="s">
        <v>1507</v>
      </c>
      <c r="D298" s="8" t="s">
        <v>1507</v>
      </c>
      <c r="E298" s="8" t="s">
        <v>1508</v>
      </c>
      <c r="F298" s="8" t="s">
        <v>100</v>
      </c>
      <c r="G298" s="8" t="s">
        <v>1509</v>
      </c>
      <c r="H298" s="8" t="s">
        <v>1497</v>
      </c>
      <c r="I298" s="8" t="s">
        <v>1497</v>
      </c>
      <c r="J298" s="8" t="s">
        <v>1497</v>
      </c>
      <c r="K298" s="8" t="s">
        <v>1505</v>
      </c>
      <c r="L298" s="8" t="s">
        <v>51</v>
      </c>
      <c r="M298" s="8" t="s">
        <v>104</v>
      </c>
      <c r="N298" s="8" t="s">
        <v>1510</v>
      </c>
    </row>
    <row r="299" spans="1:14" s="1" customFormat="1" x14ac:dyDescent="0.25">
      <c r="A299" s="8" t="s">
        <v>1493</v>
      </c>
      <c r="B299" s="8" t="s">
        <v>73</v>
      </c>
      <c r="C299" s="8" t="s">
        <v>1511</v>
      </c>
      <c r="D299" s="8" t="s">
        <v>1511</v>
      </c>
      <c r="E299" s="8" t="s">
        <v>1512</v>
      </c>
      <c r="F299" s="8" t="s">
        <v>100</v>
      </c>
      <c r="G299" s="8" t="s">
        <v>1513</v>
      </c>
      <c r="H299" s="8" t="s">
        <v>1497</v>
      </c>
      <c r="I299" s="8" t="s">
        <v>1497</v>
      </c>
      <c r="J299" s="8" t="s">
        <v>1497</v>
      </c>
      <c r="K299" s="8" t="s">
        <v>1505</v>
      </c>
      <c r="L299" s="8" t="s">
        <v>51</v>
      </c>
      <c r="M299" s="8" t="s">
        <v>119</v>
      </c>
      <c r="N299" s="8" t="s">
        <v>1514</v>
      </c>
    </row>
    <row r="300" spans="1:14" s="1" customFormat="1" x14ac:dyDescent="0.25">
      <c r="A300" s="8" t="s">
        <v>1493</v>
      </c>
      <c r="B300" s="8" t="s">
        <v>73</v>
      </c>
      <c r="C300" s="8" t="s">
        <v>1515</v>
      </c>
      <c r="D300" s="8" t="s">
        <v>1515</v>
      </c>
      <c r="E300" s="8" t="s">
        <v>1516</v>
      </c>
      <c r="F300" s="8" t="s">
        <v>187</v>
      </c>
      <c r="G300" s="8" t="s">
        <v>1517</v>
      </c>
      <c r="H300" s="8" t="s">
        <v>1497</v>
      </c>
      <c r="I300" s="8" t="s">
        <v>1518</v>
      </c>
      <c r="J300" s="8" t="s">
        <v>1517</v>
      </c>
      <c r="K300" s="8" t="s">
        <v>190</v>
      </c>
      <c r="L300" s="8" t="s">
        <v>51</v>
      </c>
      <c r="M300" s="8" t="s">
        <v>119</v>
      </c>
      <c r="N300" s="8" t="s">
        <v>1519</v>
      </c>
    </row>
    <row r="301" spans="1:14" s="1" customFormat="1" x14ac:dyDescent="0.25">
      <c r="A301" s="8" t="s">
        <v>1493</v>
      </c>
      <c r="B301" s="8" t="s">
        <v>73</v>
      </c>
      <c r="C301" s="8" t="s">
        <v>1520</v>
      </c>
      <c r="D301" s="8" t="s">
        <v>1520</v>
      </c>
      <c r="E301" s="8" t="s">
        <v>1521</v>
      </c>
      <c r="F301" s="8" t="s">
        <v>116</v>
      </c>
      <c r="G301" s="8" t="s">
        <v>1522</v>
      </c>
      <c r="H301" s="8" t="s">
        <v>1497</v>
      </c>
      <c r="I301" s="8" t="s">
        <v>1518</v>
      </c>
      <c r="J301" s="8" t="s">
        <v>1522</v>
      </c>
      <c r="K301" s="8" t="s">
        <v>1505</v>
      </c>
      <c r="L301" s="8" t="s">
        <v>51</v>
      </c>
      <c r="M301" s="8" t="s">
        <v>119</v>
      </c>
      <c r="N301" s="8" t="s">
        <v>1523</v>
      </c>
    </row>
    <row r="302" spans="1:14" s="1" customFormat="1" x14ac:dyDescent="0.25">
      <c r="A302" s="8" t="s">
        <v>1493</v>
      </c>
      <c r="B302" s="8" t="s">
        <v>73</v>
      </c>
      <c r="C302" s="8" t="s">
        <v>857</v>
      </c>
      <c r="D302" s="8" t="s">
        <v>1524</v>
      </c>
      <c r="E302" s="8" t="s">
        <v>1525</v>
      </c>
      <c r="F302" s="8" t="s">
        <v>116</v>
      </c>
      <c r="G302" s="8" t="s">
        <v>1526</v>
      </c>
      <c r="H302" s="8" t="s">
        <v>1497</v>
      </c>
      <c r="I302" s="8" t="s">
        <v>1518</v>
      </c>
      <c r="J302" s="8" t="s">
        <v>1526</v>
      </c>
      <c r="K302" s="8" t="s">
        <v>1505</v>
      </c>
      <c r="L302" s="8" t="s">
        <v>51</v>
      </c>
      <c r="M302" s="8" t="s">
        <v>119</v>
      </c>
      <c r="N302" s="8" t="s">
        <v>1527</v>
      </c>
    </row>
    <row r="303" spans="1:14" s="1" customFormat="1" x14ac:dyDescent="0.25">
      <c r="A303" s="8" t="s">
        <v>1493</v>
      </c>
      <c r="B303" s="8" t="s">
        <v>73</v>
      </c>
      <c r="C303" s="8" t="s">
        <v>1528</v>
      </c>
      <c r="D303" s="8" t="s">
        <v>1528</v>
      </c>
      <c r="E303" s="8" t="s">
        <v>1529</v>
      </c>
      <c r="F303" s="8" t="s">
        <v>116</v>
      </c>
      <c r="G303" s="8" t="s">
        <v>1530</v>
      </c>
      <c r="H303" s="8" t="s">
        <v>1497</v>
      </c>
      <c r="I303" s="8" t="s">
        <v>1530</v>
      </c>
      <c r="J303" s="8" t="s">
        <v>1530</v>
      </c>
      <c r="K303" s="8" t="s">
        <v>1505</v>
      </c>
      <c r="L303" s="8" t="s">
        <v>51</v>
      </c>
      <c r="M303" s="8" t="s">
        <v>119</v>
      </c>
      <c r="N303" s="8" t="s">
        <v>1531</v>
      </c>
    </row>
    <row r="304" spans="1:14" s="1" customFormat="1" x14ac:dyDescent="0.25">
      <c r="A304" s="8" t="s">
        <v>1532</v>
      </c>
      <c r="B304" s="8" t="s">
        <v>73</v>
      </c>
      <c r="C304" s="8" t="s">
        <v>1533</v>
      </c>
      <c r="D304" s="8" t="s">
        <v>1534</v>
      </c>
      <c r="E304" s="8" t="s">
        <v>1535</v>
      </c>
      <c r="F304" s="8" t="s">
        <v>206</v>
      </c>
      <c r="G304" s="8" t="s">
        <v>1536</v>
      </c>
      <c r="H304" s="8" t="s">
        <v>670</v>
      </c>
      <c r="I304" s="8" t="s">
        <v>670</v>
      </c>
      <c r="J304" s="8" t="s">
        <v>1536</v>
      </c>
      <c r="K304" s="8" t="s">
        <v>148</v>
      </c>
      <c r="L304" s="8" t="s">
        <v>51</v>
      </c>
      <c r="M304" s="8" t="s">
        <v>82</v>
      </c>
      <c r="N304" s="8" t="s">
        <v>1537</v>
      </c>
    </row>
    <row r="305" spans="1:14" s="1" customFormat="1" x14ac:dyDescent="0.25">
      <c r="A305" s="8" t="s">
        <v>1532</v>
      </c>
      <c r="B305" s="8" t="s">
        <v>73</v>
      </c>
      <c r="C305" s="8" t="s">
        <v>1538</v>
      </c>
      <c r="D305" s="8" t="s">
        <v>1538</v>
      </c>
      <c r="E305" s="8" t="s">
        <v>1539</v>
      </c>
      <c r="F305" s="8" t="s">
        <v>76</v>
      </c>
      <c r="G305" s="8" t="s">
        <v>1540</v>
      </c>
      <c r="H305" s="8" t="s">
        <v>670</v>
      </c>
      <c r="I305" s="8" t="s">
        <v>1541</v>
      </c>
      <c r="J305" s="8" t="s">
        <v>1540</v>
      </c>
      <c r="K305" s="8" t="s">
        <v>148</v>
      </c>
      <c r="L305" s="8" t="s">
        <v>51</v>
      </c>
      <c r="M305" s="8" t="s">
        <v>154</v>
      </c>
      <c r="N305" s="8" t="s">
        <v>1542</v>
      </c>
    </row>
    <row r="306" spans="1:14" s="1" customFormat="1" x14ac:dyDescent="0.25">
      <c r="A306" s="8" t="s">
        <v>1532</v>
      </c>
      <c r="B306" s="8" t="s">
        <v>73</v>
      </c>
      <c r="C306" s="8" t="s">
        <v>1543</v>
      </c>
      <c r="D306" s="8" t="s">
        <v>1543</v>
      </c>
      <c r="E306" s="8" t="s">
        <v>1544</v>
      </c>
      <c r="F306" s="8" t="s">
        <v>164</v>
      </c>
      <c r="G306" s="8" t="s">
        <v>283</v>
      </c>
      <c r="H306" s="8" t="s">
        <v>670</v>
      </c>
      <c r="I306" s="8" t="s">
        <v>670</v>
      </c>
      <c r="J306" s="8" t="s">
        <v>1536</v>
      </c>
      <c r="K306" s="8" t="s">
        <v>1545</v>
      </c>
      <c r="L306" s="8" t="s">
        <v>51</v>
      </c>
      <c r="M306" s="8" t="s">
        <v>119</v>
      </c>
      <c r="N306" s="8" t="s">
        <v>1546</v>
      </c>
    </row>
    <row r="307" spans="1:14" s="1" customFormat="1" x14ac:dyDescent="0.25">
      <c r="A307" s="8" t="s">
        <v>1532</v>
      </c>
      <c r="B307" s="8" t="s">
        <v>73</v>
      </c>
      <c r="C307" s="8" t="s">
        <v>1547</v>
      </c>
      <c r="D307" s="8" t="s">
        <v>1547</v>
      </c>
      <c r="E307" s="8" t="s">
        <v>1548</v>
      </c>
      <c r="F307" s="8" t="s">
        <v>164</v>
      </c>
      <c r="G307" s="8" t="s">
        <v>1549</v>
      </c>
      <c r="H307" s="8" t="s">
        <v>670</v>
      </c>
      <c r="I307" s="8" t="s">
        <v>670</v>
      </c>
      <c r="J307" s="8" t="s">
        <v>1549</v>
      </c>
      <c r="K307" s="8" t="s">
        <v>1545</v>
      </c>
      <c r="L307" s="8" t="s">
        <v>51</v>
      </c>
      <c r="M307" s="8" t="s">
        <v>119</v>
      </c>
      <c r="N307" s="8" t="s">
        <v>1550</v>
      </c>
    </row>
    <row r="308" spans="1:14" s="1" customFormat="1" x14ac:dyDescent="0.25">
      <c r="A308" s="8" t="s">
        <v>1532</v>
      </c>
      <c r="B308" s="8" t="s">
        <v>73</v>
      </c>
      <c r="C308" s="8" t="s">
        <v>1551</v>
      </c>
      <c r="D308" s="8" t="s">
        <v>1551</v>
      </c>
      <c r="E308" s="8" t="s">
        <v>1552</v>
      </c>
      <c r="F308" s="8" t="s">
        <v>187</v>
      </c>
      <c r="G308" s="8" t="s">
        <v>1553</v>
      </c>
      <c r="H308" s="8" t="s">
        <v>670</v>
      </c>
      <c r="I308" s="8" t="s">
        <v>1553</v>
      </c>
      <c r="J308" s="8" t="s">
        <v>1553</v>
      </c>
      <c r="K308" s="8" t="s">
        <v>190</v>
      </c>
      <c r="L308" s="8" t="s">
        <v>51</v>
      </c>
      <c r="M308" s="8" t="s">
        <v>119</v>
      </c>
      <c r="N308" s="8" t="s">
        <v>1554</v>
      </c>
    </row>
    <row r="309" spans="1:14" s="1" customFormat="1" x14ac:dyDescent="0.25">
      <c r="A309" s="8" t="s">
        <v>1532</v>
      </c>
      <c r="B309" s="8" t="s">
        <v>73</v>
      </c>
      <c r="C309" s="8" t="s">
        <v>1555</v>
      </c>
      <c r="D309" s="8" t="s">
        <v>1555</v>
      </c>
      <c r="E309" s="8" t="s">
        <v>1556</v>
      </c>
      <c r="F309" s="8" t="s">
        <v>187</v>
      </c>
      <c r="G309" s="8" t="s">
        <v>1557</v>
      </c>
      <c r="H309" s="8" t="s">
        <v>670</v>
      </c>
      <c r="I309" s="8" t="s">
        <v>1557</v>
      </c>
      <c r="J309" s="8" t="s">
        <v>1557</v>
      </c>
      <c r="K309" s="8" t="s">
        <v>190</v>
      </c>
      <c r="L309" s="8" t="s">
        <v>51</v>
      </c>
      <c r="M309" s="8" t="s">
        <v>119</v>
      </c>
      <c r="N309" s="8" t="s">
        <v>1558</v>
      </c>
    </row>
    <row r="310" spans="1:14" s="1" customFormat="1" x14ac:dyDescent="0.25">
      <c r="A310" s="8" t="s">
        <v>1532</v>
      </c>
      <c r="B310" s="8" t="s">
        <v>73</v>
      </c>
      <c r="C310" s="8" t="s">
        <v>1559</v>
      </c>
      <c r="D310" s="8" t="s">
        <v>1559</v>
      </c>
      <c r="E310" s="8" t="s">
        <v>1560</v>
      </c>
      <c r="F310" s="8" t="s">
        <v>187</v>
      </c>
      <c r="G310" s="8" t="s">
        <v>1561</v>
      </c>
      <c r="H310" s="8" t="s">
        <v>670</v>
      </c>
      <c r="I310" s="8" t="s">
        <v>1562</v>
      </c>
      <c r="J310" s="8" t="s">
        <v>1561</v>
      </c>
      <c r="K310" s="8" t="s">
        <v>190</v>
      </c>
      <c r="L310" s="8" t="s">
        <v>51</v>
      </c>
      <c r="M310" s="8" t="s">
        <v>119</v>
      </c>
      <c r="N310" s="8" t="s">
        <v>1558</v>
      </c>
    </row>
    <row r="311" spans="1:14" s="1" customFormat="1" x14ac:dyDescent="0.25">
      <c r="A311" s="8" t="s">
        <v>1563</v>
      </c>
      <c r="B311" s="8" t="s">
        <v>73</v>
      </c>
      <c r="C311" s="8" t="s">
        <v>1564</v>
      </c>
      <c r="D311" s="8" t="s">
        <v>1564</v>
      </c>
      <c r="E311" s="8" t="s">
        <v>1565</v>
      </c>
      <c r="F311" s="8" t="s">
        <v>76</v>
      </c>
      <c r="G311" s="8" t="s">
        <v>1566</v>
      </c>
      <c r="H311" s="8" t="s">
        <v>1567</v>
      </c>
      <c r="I311" s="8" t="s">
        <v>1567</v>
      </c>
      <c r="J311" s="8" t="s">
        <v>1567</v>
      </c>
      <c r="K311" s="8" t="s">
        <v>1568</v>
      </c>
      <c r="L311" s="8" t="s">
        <v>51</v>
      </c>
      <c r="M311" s="8" t="s">
        <v>82</v>
      </c>
      <c r="N311" s="8" t="s">
        <v>1569</v>
      </c>
    </row>
    <row r="312" spans="1:14" s="1" customFormat="1" x14ac:dyDescent="0.25">
      <c r="A312" s="8" t="s">
        <v>1563</v>
      </c>
      <c r="B312" s="8" t="s">
        <v>73</v>
      </c>
      <c r="C312" s="8" t="s">
        <v>1570</v>
      </c>
      <c r="D312" s="8" t="s">
        <v>1570</v>
      </c>
      <c r="E312" s="8" t="s">
        <v>1571</v>
      </c>
      <c r="F312" s="8" t="s">
        <v>187</v>
      </c>
      <c r="G312" s="8" t="s">
        <v>1572</v>
      </c>
      <c r="H312" s="8" t="s">
        <v>1567</v>
      </c>
      <c r="I312" s="8" t="s">
        <v>1567</v>
      </c>
      <c r="J312" s="8" t="s">
        <v>1572</v>
      </c>
      <c r="K312" s="8" t="s">
        <v>190</v>
      </c>
      <c r="L312" s="8" t="s">
        <v>51</v>
      </c>
      <c r="M312" s="8" t="s">
        <v>119</v>
      </c>
      <c r="N312" s="8" t="s">
        <v>1569</v>
      </c>
    </row>
    <row r="313" spans="1:14" s="1" customFormat="1" x14ac:dyDescent="0.25">
      <c r="A313" s="8" t="s">
        <v>1563</v>
      </c>
      <c r="B313" s="8" t="s">
        <v>73</v>
      </c>
      <c r="C313" s="8" t="s">
        <v>1573</v>
      </c>
      <c r="D313" s="8" t="s">
        <v>1573</v>
      </c>
      <c r="E313" s="8" t="s">
        <v>1574</v>
      </c>
      <c r="F313" s="8" t="s">
        <v>187</v>
      </c>
      <c r="G313" s="8" t="s">
        <v>1575</v>
      </c>
      <c r="H313" s="8" t="s">
        <v>1567</v>
      </c>
      <c r="I313" s="8" t="s">
        <v>1575</v>
      </c>
      <c r="J313" s="8" t="s">
        <v>1575</v>
      </c>
      <c r="K313" s="8" t="s">
        <v>190</v>
      </c>
      <c r="L313" s="8" t="s">
        <v>51</v>
      </c>
      <c r="M313" s="8" t="s">
        <v>119</v>
      </c>
      <c r="N313" s="8" t="s">
        <v>1569</v>
      </c>
    </row>
    <row r="314" spans="1:14" s="1" customFormat="1" x14ac:dyDescent="0.25">
      <c r="A314" s="8" t="s">
        <v>1563</v>
      </c>
      <c r="B314" s="8" t="s">
        <v>73</v>
      </c>
      <c r="C314" s="8" t="s">
        <v>1576</v>
      </c>
      <c r="D314" s="8" t="s">
        <v>1576</v>
      </c>
      <c r="E314" s="8" t="s">
        <v>1577</v>
      </c>
      <c r="F314" s="8" t="s">
        <v>187</v>
      </c>
      <c r="G314" s="8" t="s">
        <v>1578</v>
      </c>
      <c r="H314" s="8" t="s">
        <v>1567</v>
      </c>
      <c r="I314" s="8" t="s">
        <v>1579</v>
      </c>
      <c r="J314" s="8" t="s">
        <v>1578</v>
      </c>
      <c r="K314" s="8" t="s">
        <v>190</v>
      </c>
      <c r="L314" s="8" t="s">
        <v>51</v>
      </c>
      <c r="M314" s="8" t="s">
        <v>119</v>
      </c>
      <c r="N314" s="8" t="s">
        <v>1569</v>
      </c>
    </row>
    <row r="315" spans="1:14" s="1" customFormat="1" x14ac:dyDescent="0.25">
      <c r="A315" s="8" t="s">
        <v>1580</v>
      </c>
      <c r="B315" s="8" t="s">
        <v>73</v>
      </c>
      <c r="C315" s="8" t="s">
        <v>1581</v>
      </c>
      <c r="D315" s="8" t="s">
        <v>1581</v>
      </c>
      <c r="E315" s="8" t="s">
        <v>1582</v>
      </c>
      <c r="F315" s="8" t="s">
        <v>206</v>
      </c>
      <c r="G315" s="8" t="s">
        <v>1583</v>
      </c>
      <c r="H315" s="8" t="s">
        <v>1584</v>
      </c>
      <c r="I315" s="8" t="s">
        <v>1585</v>
      </c>
      <c r="J315" s="8" t="s">
        <v>1586</v>
      </c>
      <c r="K315" s="8" t="s">
        <v>148</v>
      </c>
      <c r="L315" s="8" t="s">
        <v>51</v>
      </c>
      <c r="M315" s="8" t="s">
        <v>210</v>
      </c>
      <c r="N315" s="8" t="s">
        <v>1587</v>
      </c>
    </row>
    <row r="316" spans="1:14" s="1" customFormat="1" x14ac:dyDescent="0.25">
      <c r="A316" s="8" t="s">
        <v>1580</v>
      </c>
      <c r="B316" s="8" t="s">
        <v>73</v>
      </c>
      <c r="C316" s="8" t="s">
        <v>1588</v>
      </c>
      <c r="D316" s="8" t="s">
        <v>1588</v>
      </c>
      <c r="E316" s="8" t="s">
        <v>1589</v>
      </c>
      <c r="F316" s="8" t="s">
        <v>187</v>
      </c>
      <c r="G316" s="8" t="s">
        <v>1590</v>
      </c>
      <c r="H316" s="8" t="s">
        <v>1584</v>
      </c>
      <c r="I316" s="8" t="s">
        <v>1591</v>
      </c>
      <c r="J316" s="8" t="s">
        <v>1591</v>
      </c>
      <c r="K316" s="8" t="s">
        <v>190</v>
      </c>
      <c r="L316" s="8" t="s">
        <v>51</v>
      </c>
      <c r="M316" s="8" t="s">
        <v>119</v>
      </c>
      <c r="N316" s="8" t="s">
        <v>1592</v>
      </c>
    </row>
    <row r="317" spans="1:14" s="1" customFormat="1" x14ac:dyDescent="0.25">
      <c r="A317" s="8" t="s">
        <v>1580</v>
      </c>
      <c r="B317" s="8" t="s">
        <v>73</v>
      </c>
      <c r="C317" s="8" t="s">
        <v>1593</v>
      </c>
      <c r="D317" s="8" t="s">
        <v>1593</v>
      </c>
      <c r="E317" s="8" t="s">
        <v>1594</v>
      </c>
      <c r="F317" s="8" t="s">
        <v>187</v>
      </c>
      <c r="G317" s="8" t="s">
        <v>1595</v>
      </c>
      <c r="H317" s="8" t="s">
        <v>1584</v>
      </c>
      <c r="I317" s="8" t="s">
        <v>1585</v>
      </c>
      <c r="J317" s="8" t="s">
        <v>1596</v>
      </c>
      <c r="K317" s="8" t="s">
        <v>190</v>
      </c>
      <c r="L317" s="8" t="s">
        <v>51</v>
      </c>
      <c r="M317" s="8" t="s">
        <v>104</v>
      </c>
      <c r="N317" s="8" t="s">
        <v>1587</v>
      </c>
    </row>
    <row r="318" spans="1:14" s="1" customFormat="1" x14ac:dyDescent="0.25">
      <c r="A318" s="8" t="s">
        <v>1580</v>
      </c>
      <c r="B318" s="8" t="s">
        <v>73</v>
      </c>
      <c r="C318" s="8" t="s">
        <v>1597</v>
      </c>
      <c r="D318" s="8" t="s">
        <v>1597</v>
      </c>
      <c r="E318" s="8" t="s">
        <v>1598</v>
      </c>
      <c r="F318" s="8" t="s">
        <v>187</v>
      </c>
      <c r="G318" s="8" t="s">
        <v>1599</v>
      </c>
      <c r="H318" s="8" t="s">
        <v>1584</v>
      </c>
      <c r="I318" s="8" t="s">
        <v>1599</v>
      </c>
      <c r="J318" s="8" t="s">
        <v>1600</v>
      </c>
      <c r="K318" s="8" t="s">
        <v>190</v>
      </c>
      <c r="L318" s="8" t="s">
        <v>51</v>
      </c>
      <c r="M318" s="8" t="s">
        <v>104</v>
      </c>
      <c r="N318" s="8" t="s">
        <v>1587</v>
      </c>
    </row>
    <row r="319" spans="1:14" s="1" customFormat="1" x14ac:dyDescent="0.25">
      <c r="A319" s="8" t="s">
        <v>1580</v>
      </c>
      <c r="B319" s="8" t="s">
        <v>73</v>
      </c>
      <c r="C319" s="8" t="s">
        <v>1601</v>
      </c>
      <c r="D319" s="8" t="s">
        <v>1601</v>
      </c>
      <c r="E319" s="8" t="s">
        <v>1602</v>
      </c>
      <c r="F319" s="8" t="s">
        <v>187</v>
      </c>
      <c r="G319" s="8" t="s">
        <v>1603</v>
      </c>
      <c r="H319" s="8" t="s">
        <v>1183</v>
      </c>
      <c r="I319" s="8" t="s">
        <v>1584</v>
      </c>
      <c r="J319" s="8" t="s">
        <v>1603</v>
      </c>
      <c r="K319" s="8" t="s">
        <v>190</v>
      </c>
      <c r="L319" s="8" t="s">
        <v>51</v>
      </c>
      <c r="M319" s="8" t="s">
        <v>104</v>
      </c>
      <c r="N319" s="8" t="s">
        <v>1604</v>
      </c>
    </row>
    <row r="320" spans="1:14" s="1" customFormat="1" x14ac:dyDescent="0.25">
      <c r="A320" s="8" t="s">
        <v>1580</v>
      </c>
      <c r="B320" s="8" t="s">
        <v>73</v>
      </c>
      <c r="C320" s="8" t="s">
        <v>1605</v>
      </c>
      <c r="D320" s="8" t="s">
        <v>1605</v>
      </c>
      <c r="E320" s="8" t="s">
        <v>1606</v>
      </c>
      <c r="F320" s="8" t="s">
        <v>116</v>
      </c>
      <c r="G320" s="8" t="s">
        <v>1607</v>
      </c>
      <c r="H320" s="8" t="s">
        <v>1584</v>
      </c>
      <c r="I320" s="8" t="s">
        <v>1585</v>
      </c>
      <c r="J320" s="8" t="s">
        <v>1607</v>
      </c>
      <c r="K320" s="8" t="s">
        <v>1608</v>
      </c>
      <c r="L320" s="8" t="s">
        <v>51</v>
      </c>
      <c r="M320" s="8" t="s">
        <v>119</v>
      </c>
      <c r="N320" s="8" t="s">
        <v>1592</v>
      </c>
    </row>
    <row r="321" spans="1:14" s="1" customFormat="1" x14ac:dyDescent="0.25">
      <c r="A321" s="8" t="s">
        <v>1580</v>
      </c>
      <c r="B321" s="8" t="s">
        <v>73</v>
      </c>
      <c r="C321" s="8" t="s">
        <v>1609</v>
      </c>
      <c r="D321" s="8" t="s">
        <v>1609</v>
      </c>
      <c r="E321" s="8" t="s">
        <v>1610</v>
      </c>
      <c r="F321" s="8" t="s">
        <v>116</v>
      </c>
      <c r="G321" s="8" t="s">
        <v>1611</v>
      </c>
      <c r="H321" s="8" t="s">
        <v>1584</v>
      </c>
      <c r="I321" s="8" t="s">
        <v>1585</v>
      </c>
      <c r="J321" s="8" t="s">
        <v>1611</v>
      </c>
      <c r="K321" s="8" t="s">
        <v>1612</v>
      </c>
      <c r="L321" s="8" t="s">
        <v>51</v>
      </c>
      <c r="M321" s="8" t="s">
        <v>119</v>
      </c>
      <c r="N321" s="8" t="s">
        <v>1587</v>
      </c>
    </row>
    <row r="322" spans="1:14" s="1" customFormat="1" x14ac:dyDescent="0.25">
      <c r="A322" s="8" t="s">
        <v>1613</v>
      </c>
      <c r="B322" s="8" t="s">
        <v>249</v>
      </c>
      <c r="C322" s="8" t="s">
        <v>1614</v>
      </c>
      <c r="D322" s="8" t="s">
        <v>1614</v>
      </c>
      <c r="E322" s="8" t="s">
        <v>1615</v>
      </c>
      <c r="F322" s="8" t="s">
        <v>252</v>
      </c>
      <c r="G322" s="8" t="s">
        <v>1616</v>
      </c>
      <c r="H322" s="8" t="s">
        <v>48</v>
      </c>
      <c r="I322" s="8" t="s">
        <v>48</v>
      </c>
      <c r="J322" s="8" t="s">
        <v>1617</v>
      </c>
      <c r="K322" s="8" t="s">
        <v>1618</v>
      </c>
      <c r="L322" s="8" t="s">
        <v>51</v>
      </c>
      <c r="M322" s="8" t="s">
        <v>1619</v>
      </c>
      <c r="N322" s="8" t="s">
        <v>1620</v>
      </c>
    </row>
    <row r="323" spans="1:14" s="1" customFormat="1" x14ac:dyDescent="0.25">
      <c r="A323" s="8" t="s">
        <v>1613</v>
      </c>
      <c r="B323" s="8" t="s">
        <v>249</v>
      </c>
      <c r="C323" s="8" t="s">
        <v>1621</v>
      </c>
      <c r="D323" s="8" t="s">
        <v>1621</v>
      </c>
      <c r="E323" s="8" t="s">
        <v>1622</v>
      </c>
      <c r="F323" s="8" t="s">
        <v>144</v>
      </c>
      <c r="G323" s="8" t="s">
        <v>1623</v>
      </c>
      <c r="H323" s="8" t="s">
        <v>48</v>
      </c>
      <c r="I323" s="8" t="s">
        <v>48</v>
      </c>
      <c r="J323" s="8" t="s">
        <v>48</v>
      </c>
      <c r="K323" s="8" t="s">
        <v>1624</v>
      </c>
      <c r="L323" s="8" t="s">
        <v>51</v>
      </c>
      <c r="M323" s="8" t="s">
        <v>210</v>
      </c>
      <c r="N323" s="8" t="s">
        <v>1625</v>
      </c>
    </row>
    <row r="324" spans="1:14" s="1" customFormat="1" x14ac:dyDescent="0.25">
      <c r="A324" s="8" t="s">
        <v>1613</v>
      </c>
      <c r="B324" s="8" t="s">
        <v>249</v>
      </c>
      <c r="C324" s="8" t="s">
        <v>1626</v>
      </c>
      <c r="D324" s="8" t="s">
        <v>1626</v>
      </c>
      <c r="E324" s="8" t="s">
        <v>1627</v>
      </c>
      <c r="F324" s="8" t="s">
        <v>206</v>
      </c>
      <c r="G324" s="8" t="s">
        <v>1207</v>
      </c>
      <c r="H324" s="8" t="s">
        <v>48</v>
      </c>
      <c r="I324" s="8" t="s">
        <v>48</v>
      </c>
      <c r="J324" s="8" t="s">
        <v>48</v>
      </c>
      <c r="K324" s="8" t="s">
        <v>1628</v>
      </c>
      <c r="L324" s="8" t="s">
        <v>51</v>
      </c>
      <c r="M324" s="8" t="s">
        <v>82</v>
      </c>
      <c r="N324" s="8" t="s">
        <v>1629</v>
      </c>
    </row>
    <row r="325" spans="1:14" s="1" customFormat="1" x14ac:dyDescent="0.25">
      <c r="A325" s="8" t="s">
        <v>1613</v>
      </c>
      <c r="B325" s="8" t="s">
        <v>249</v>
      </c>
      <c r="C325" s="8" t="s">
        <v>1399</v>
      </c>
      <c r="D325" s="8" t="s">
        <v>113</v>
      </c>
      <c r="E325" s="8" t="s">
        <v>1630</v>
      </c>
      <c r="F325" s="8" t="s">
        <v>206</v>
      </c>
      <c r="G325" s="8" t="s">
        <v>1631</v>
      </c>
      <c r="H325" s="8" t="s">
        <v>48</v>
      </c>
      <c r="I325" s="8" t="s">
        <v>48</v>
      </c>
      <c r="J325" s="8" t="s">
        <v>1632</v>
      </c>
      <c r="K325" s="8" t="s">
        <v>1633</v>
      </c>
      <c r="L325" s="8" t="s">
        <v>51</v>
      </c>
      <c r="M325" s="8" t="s">
        <v>70</v>
      </c>
      <c r="N325" s="8" t="s">
        <v>1634</v>
      </c>
    </row>
    <row r="326" spans="1:14" s="1" customFormat="1" x14ac:dyDescent="0.25">
      <c r="A326" s="8" t="s">
        <v>1613</v>
      </c>
      <c r="B326" s="8" t="s">
        <v>249</v>
      </c>
      <c r="C326" s="8" t="s">
        <v>1635</v>
      </c>
      <c r="D326" s="8" t="s">
        <v>1635</v>
      </c>
      <c r="E326" s="8" t="s">
        <v>1636</v>
      </c>
      <c r="F326" s="8" t="s">
        <v>206</v>
      </c>
      <c r="G326" s="8" t="s">
        <v>1637</v>
      </c>
      <c r="H326" s="8" t="s">
        <v>48</v>
      </c>
      <c r="I326" s="8" t="s">
        <v>48</v>
      </c>
      <c r="J326" s="8" t="s">
        <v>1638</v>
      </c>
      <c r="K326" s="8" t="s">
        <v>148</v>
      </c>
      <c r="L326" s="8" t="s">
        <v>51</v>
      </c>
      <c r="M326" s="8" t="s">
        <v>82</v>
      </c>
      <c r="N326" s="8" t="s">
        <v>1639</v>
      </c>
    </row>
    <row r="327" spans="1:14" s="1" customFormat="1" x14ac:dyDescent="0.25">
      <c r="A327" s="8" t="s">
        <v>1613</v>
      </c>
      <c r="B327" s="8" t="s">
        <v>249</v>
      </c>
      <c r="C327" s="8" t="s">
        <v>1640</v>
      </c>
      <c r="D327" s="8" t="s">
        <v>722</v>
      </c>
      <c r="E327" s="8" t="s">
        <v>1641</v>
      </c>
      <c r="F327" s="8" t="s">
        <v>76</v>
      </c>
      <c r="G327" s="8" t="s">
        <v>1642</v>
      </c>
      <c r="H327" s="8" t="s">
        <v>48</v>
      </c>
      <c r="I327" s="8" t="s">
        <v>48</v>
      </c>
      <c r="J327" s="8" t="s">
        <v>1643</v>
      </c>
      <c r="K327" s="8" t="s">
        <v>1644</v>
      </c>
      <c r="L327" s="8" t="s">
        <v>51</v>
      </c>
      <c r="M327" s="8" t="s">
        <v>82</v>
      </c>
      <c r="N327" s="8" t="s">
        <v>1645</v>
      </c>
    </row>
    <row r="328" spans="1:14" s="1" customFormat="1" x14ac:dyDescent="0.25">
      <c r="A328" s="8" t="s">
        <v>1613</v>
      </c>
      <c r="B328" s="8" t="s">
        <v>249</v>
      </c>
      <c r="C328" s="8" t="s">
        <v>1646</v>
      </c>
      <c r="D328" s="8" t="s">
        <v>1647</v>
      </c>
      <c r="E328" s="8" t="s">
        <v>1648</v>
      </c>
      <c r="F328" s="8" t="s">
        <v>76</v>
      </c>
      <c r="G328" s="8" t="s">
        <v>1649</v>
      </c>
      <c r="H328" s="8" t="s">
        <v>48</v>
      </c>
      <c r="I328" s="8" t="s">
        <v>48</v>
      </c>
      <c r="J328" s="8" t="s">
        <v>1632</v>
      </c>
      <c r="K328" s="8" t="s">
        <v>1650</v>
      </c>
      <c r="L328" s="8" t="s">
        <v>51</v>
      </c>
      <c r="M328" s="8" t="s">
        <v>82</v>
      </c>
      <c r="N328" s="8" t="s">
        <v>1651</v>
      </c>
    </row>
    <row r="329" spans="1:14" s="1" customFormat="1" x14ac:dyDescent="0.25">
      <c r="A329" s="8" t="s">
        <v>1613</v>
      </c>
      <c r="B329" s="8" t="s">
        <v>249</v>
      </c>
      <c r="C329" s="8" t="s">
        <v>1652</v>
      </c>
      <c r="D329" s="8" t="s">
        <v>1652</v>
      </c>
      <c r="E329" s="8" t="s">
        <v>1653</v>
      </c>
      <c r="F329" s="8" t="s">
        <v>158</v>
      </c>
      <c r="G329" s="8" t="s">
        <v>1654</v>
      </c>
      <c r="H329" s="8" t="s">
        <v>48</v>
      </c>
      <c r="I329" s="8" t="s">
        <v>48</v>
      </c>
      <c r="J329" s="8" t="s">
        <v>1655</v>
      </c>
      <c r="K329" s="8" t="s">
        <v>1656</v>
      </c>
      <c r="L329" s="8" t="s">
        <v>51</v>
      </c>
      <c r="M329" s="8" t="s">
        <v>104</v>
      </c>
      <c r="N329" s="8" t="s">
        <v>1657</v>
      </c>
    </row>
    <row r="330" spans="1:14" s="1" customFormat="1" x14ac:dyDescent="0.25">
      <c r="A330" s="8" t="s">
        <v>1613</v>
      </c>
      <c r="B330" s="8" t="s">
        <v>249</v>
      </c>
      <c r="C330" s="8" t="s">
        <v>1658</v>
      </c>
      <c r="D330" s="8" t="s">
        <v>1658</v>
      </c>
      <c r="E330" s="8" t="s">
        <v>1659</v>
      </c>
      <c r="F330" s="8" t="s">
        <v>158</v>
      </c>
      <c r="G330" s="8" t="s">
        <v>1660</v>
      </c>
      <c r="H330" s="8" t="s">
        <v>48</v>
      </c>
      <c r="I330" s="8" t="s">
        <v>48</v>
      </c>
      <c r="J330" s="8" t="s">
        <v>1661</v>
      </c>
      <c r="K330" s="8" t="s">
        <v>148</v>
      </c>
      <c r="L330" s="8" t="s">
        <v>51</v>
      </c>
      <c r="M330" s="8" t="s">
        <v>104</v>
      </c>
      <c r="N330" s="8" t="s">
        <v>1662</v>
      </c>
    </row>
    <row r="331" spans="1:14" s="1" customFormat="1" x14ac:dyDescent="0.25">
      <c r="A331" s="8" t="s">
        <v>1613</v>
      </c>
      <c r="B331" s="8" t="s">
        <v>249</v>
      </c>
      <c r="C331" s="8" t="s">
        <v>1663</v>
      </c>
      <c r="D331" s="8" t="s">
        <v>1663</v>
      </c>
      <c r="E331" s="8" t="s">
        <v>1664</v>
      </c>
      <c r="F331" s="8" t="s">
        <v>158</v>
      </c>
      <c r="G331" s="8" t="s">
        <v>1665</v>
      </c>
      <c r="H331" s="8" t="s">
        <v>48</v>
      </c>
      <c r="I331" s="8" t="s">
        <v>48</v>
      </c>
      <c r="J331" s="8" t="s">
        <v>1666</v>
      </c>
      <c r="K331" s="8" t="s">
        <v>1667</v>
      </c>
      <c r="L331" s="8" t="s">
        <v>51</v>
      </c>
      <c r="M331" s="8" t="s">
        <v>104</v>
      </c>
      <c r="N331" s="8" t="s">
        <v>1668</v>
      </c>
    </row>
    <row r="332" spans="1:14" s="1" customFormat="1" x14ac:dyDescent="0.25">
      <c r="A332" s="8" t="s">
        <v>1613</v>
      </c>
      <c r="B332" s="8" t="s">
        <v>249</v>
      </c>
      <c r="C332" s="8" t="s">
        <v>1669</v>
      </c>
      <c r="D332" s="8" t="s">
        <v>1669</v>
      </c>
      <c r="E332" s="8" t="s">
        <v>1670</v>
      </c>
      <c r="F332" s="8" t="s">
        <v>288</v>
      </c>
      <c r="G332" s="8" t="s">
        <v>1671</v>
      </c>
      <c r="H332" s="8" t="s">
        <v>48</v>
      </c>
      <c r="I332" s="8" t="s">
        <v>48</v>
      </c>
      <c r="J332" s="8" t="s">
        <v>1672</v>
      </c>
      <c r="K332" s="8" t="s">
        <v>1673</v>
      </c>
      <c r="L332" s="8" t="s">
        <v>51</v>
      </c>
      <c r="M332" s="8" t="s">
        <v>104</v>
      </c>
      <c r="N332" s="8" t="s">
        <v>1674</v>
      </c>
    </row>
    <row r="333" spans="1:14" s="1" customFormat="1" x14ac:dyDescent="0.25">
      <c r="A333" s="8" t="s">
        <v>1613</v>
      </c>
      <c r="B333" s="8" t="s">
        <v>249</v>
      </c>
      <c r="C333" s="8" t="s">
        <v>1675</v>
      </c>
      <c r="D333" s="8" t="s">
        <v>1675</v>
      </c>
      <c r="E333" s="8" t="s">
        <v>1676</v>
      </c>
      <c r="F333" s="8" t="s">
        <v>288</v>
      </c>
      <c r="G333" s="8" t="s">
        <v>1677</v>
      </c>
      <c r="H333" s="8" t="s">
        <v>48</v>
      </c>
      <c r="I333" s="8" t="s">
        <v>48</v>
      </c>
      <c r="J333" s="8" t="s">
        <v>1677</v>
      </c>
      <c r="K333" s="8" t="s">
        <v>1678</v>
      </c>
      <c r="L333" s="8" t="s">
        <v>51</v>
      </c>
      <c r="M333" s="8" t="s">
        <v>104</v>
      </c>
      <c r="N333" s="8" t="s">
        <v>1679</v>
      </c>
    </row>
    <row r="334" spans="1:14" s="1" customFormat="1" x14ac:dyDescent="0.25">
      <c r="A334" s="8" t="s">
        <v>1613</v>
      </c>
      <c r="B334" s="8" t="s">
        <v>249</v>
      </c>
      <c r="C334" s="8" t="s">
        <v>1680</v>
      </c>
      <c r="D334" s="8" t="s">
        <v>1680</v>
      </c>
      <c r="E334" s="8" t="s">
        <v>1681</v>
      </c>
      <c r="F334" s="8" t="s">
        <v>288</v>
      </c>
      <c r="G334" s="8" t="s">
        <v>1682</v>
      </c>
      <c r="H334" s="8" t="s">
        <v>48</v>
      </c>
      <c r="I334" s="8" t="s">
        <v>48</v>
      </c>
      <c r="J334" s="8" t="s">
        <v>1638</v>
      </c>
      <c r="K334" s="8" t="s">
        <v>1678</v>
      </c>
      <c r="L334" s="8" t="s">
        <v>51</v>
      </c>
      <c r="M334" s="8" t="s">
        <v>104</v>
      </c>
      <c r="N334" s="8" t="s">
        <v>1683</v>
      </c>
    </row>
    <row r="335" spans="1:14" s="1" customFormat="1" x14ac:dyDescent="0.25">
      <c r="A335" s="8" t="s">
        <v>1613</v>
      </c>
      <c r="B335" s="8" t="s">
        <v>249</v>
      </c>
      <c r="C335" s="8" t="s">
        <v>1684</v>
      </c>
      <c r="D335" s="8" t="s">
        <v>1684</v>
      </c>
      <c r="E335" s="8" t="s">
        <v>1685</v>
      </c>
      <c r="F335" s="8" t="s">
        <v>288</v>
      </c>
      <c r="G335" s="8" t="s">
        <v>1686</v>
      </c>
      <c r="H335" s="8" t="s">
        <v>48</v>
      </c>
      <c r="I335" s="8" t="s">
        <v>48</v>
      </c>
      <c r="J335" s="8" t="s">
        <v>1686</v>
      </c>
      <c r="K335" s="8" t="s">
        <v>1687</v>
      </c>
      <c r="L335" s="8" t="s">
        <v>51</v>
      </c>
      <c r="M335" s="8" t="s">
        <v>104</v>
      </c>
      <c r="N335" s="8" t="s">
        <v>1688</v>
      </c>
    </row>
    <row r="336" spans="1:14" s="1" customFormat="1" x14ac:dyDescent="0.25">
      <c r="A336" s="8" t="s">
        <v>1613</v>
      </c>
      <c r="B336" s="8" t="s">
        <v>249</v>
      </c>
      <c r="C336" s="8" t="s">
        <v>1689</v>
      </c>
      <c r="D336" s="8" t="s">
        <v>1689</v>
      </c>
      <c r="E336" s="8" t="s">
        <v>1690</v>
      </c>
      <c r="F336" s="8" t="s">
        <v>288</v>
      </c>
      <c r="G336" s="8" t="s">
        <v>1691</v>
      </c>
      <c r="H336" s="8" t="s">
        <v>48</v>
      </c>
      <c r="I336" s="8" t="s">
        <v>48</v>
      </c>
      <c r="J336" s="8" t="s">
        <v>1617</v>
      </c>
      <c r="K336" s="8" t="s">
        <v>1692</v>
      </c>
      <c r="L336" s="8" t="s">
        <v>295</v>
      </c>
      <c r="M336" s="8" t="s">
        <v>149</v>
      </c>
      <c r="N336" s="8"/>
    </row>
    <row r="337" spans="1:14" s="1" customFormat="1" x14ac:dyDescent="0.25">
      <c r="A337" s="8" t="s">
        <v>1613</v>
      </c>
      <c r="B337" s="8" t="s">
        <v>249</v>
      </c>
      <c r="C337" s="8" t="s">
        <v>1693</v>
      </c>
      <c r="D337" s="8" t="s">
        <v>1693</v>
      </c>
      <c r="E337" s="8" t="s">
        <v>1694</v>
      </c>
      <c r="F337" s="8" t="s">
        <v>288</v>
      </c>
      <c r="G337" s="8" t="s">
        <v>1695</v>
      </c>
      <c r="H337" s="8" t="s">
        <v>48</v>
      </c>
      <c r="I337" s="8" t="s">
        <v>48</v>
      </c>
      <c r="J337" s="8" t="s">
        <v>1695</v>
      </c>
      <c r="K337" s="8" t="s">
        <v>1687</v>
      </c>
      <c r="L337" s="8" t="s">
        <v>295</v>
      </c>
      <c r="M337" s="8" t="s">
        <v>149</v>
      </c>
      <c r="N337" s="8"/>
    </row>
    <row r="338" spans="1:14" s="1" customFormat="1" x14ac:dyDescent="0.25">
      <c r="A338" s="8" t="s">
        <v>1613</v>
      </c>
      <c r="B338" s="8" t="s">
        <v>249</v>
      </c>
      <c r="C338" s="8" t="s">
        <v>1696</v>
      </c>
      <c r="D338" s="8" t="s">
        <v>1696</v>
      </c>
      <c r="E338" s="8" t="s">
        <v>1697</v>
      </c>
      <c r="F338" s="8" t="s">
        <v>164</v>
      </c>
      <c r="G338" s="8" t="s">
        <v>1698</v>
      </c>
      <c r="H338" s="8" t="s">
        <v>48</v>
      </c>
      <c r="I338" s="8" t="s">
        <v>48</v>
      </c>
      <c r="J338" s="8" t="s">
        <v>48</v>
      </c>
      <c r="K338" s="8" t="s">
        <v>148</v>
      </c>
      <c r="L338" s="8" t="s">
        <v>51</v>
      </c>
      <c r="M338" s="8" t="s">
        <v>104</v>
      </c>
      <c r="N338" s="8" t="s">
        <v>1699</v>
      </c>
    </row>
    <row r="339" spans="1:14" s="1" customFormat="1" x14ac:dyDescent="0.25">
      <c r="A339" s="8" t="s">
        <v>1613</v>
      </c>
      <c r="B339" s="8" t="s">
        <v>249</v>
      </c>
      <c r="C339" s="8" t="s">
        <v>1700</v>
      </c>
      <c r="D339" s="8" t="s">
        <v>1700</v>
      </c>
      <c r="E339" s="8" t="s">
        <v>1701</v>
      </c>
      <c r="F339" s="8" t="s">
        <v>164</v>
      </c>
      <c r="G339" s="8" t="s">
        <v>1702</v>
      </c>
      <c r="H339" s="8" t="s">
        <v>48</v>
      </c>
      <c r="I339" s="8" t="s">
        <v>1703</v>
      </c>
      <c r="J339" s="8" t="s">
        <v>1704</v>
      </c>
      <c r="K339" s="8" t="s">
        <v>1705</v>
      </c>
      <c r="L339" s="8" t="s">
        <v>51</v>
      </c>
      <c r="M339" s="8" t="s">
        <v>104</v>
      </c>
      <c r="N339" s="8" t="s">
        <v>1706</v>
      </c>
    </row>
    <row r="340" spans="1:14" s="1" customFormat="1" x14ac:dyDescent="0.25">
      <c r="A340" s="8" t="s">
        <v>1613</v>
      </c>
      <c r="B340" s="8" t="s">
        <v>249</v>
      </c>
      <c r="C340" s="8" t="s">
        <v>1707</v>
      </c>
      <c r="D340" s="8" t="s">
        <v>1707</v>
      </c>
      <c r="E340" s="8" t="s">
        <v>1708</v>
      </c>
      <c r="F340" s="8" t="s">
        <v>187</v>
      </c>
      <c r="G340" s="8" t="s">
        <v>1709</v>
      </c>
      <c r="H340" s="8" t="s">
        <v>48</v>
      </c>
      <c r="I340" s="8" t="s">
        <v>48</v>
      </c>
      <c r="J340" s="8" t="s">
        <v>1617</v>
      </c>
      <c r="K340" s="8" t="s">
        <v>1710</v>
      </c>
      <c r="L340" s="8" t="s">
        <v>51</v>
      </c>
      <c r="M340" s="8" t="s">
        <v>119</v>
      </c>
      <c r="N340" s="8" t="s">
        <v>1711</v>
      </c>
    </row>
    <row r="341" spans="1:14" s="1" customFormat="1" x14ac:dyDescent="0.25">
      <c r="A341" s="8" t="s">
        <v>1712</v>
      </c>
      <c r="B341" s="8" t="s">
        <v>249</v>
      </c>
      <c r="C341" s="8" t="s">
        <v>1713</v>
      </c>
      <c r="D341" s="8" t="s">
        <v>1713</v>
      </c>
      <c r="E341" s="8" t="s">
        <v>1714</v>
      </c>
      <c r="F341" s="8" t="s">
        <v>252</v>
      </c>
      <c r="G341" s="8" t="s">
        <v>1715</v>
      </c>
      <c r="H341" s="8" t="s">
        <v>1716</v>
      </c>
      <c r="I341" s="8" t="s">
        <v>1717</v>
      </c>
      <c r="J341" s="8" t="s">
        <v>1717</v>
      </c>
      <c r="K341" s="8" t="s">
        <v>1718</v>
      </c>
      <c r="L341" s="8" t="s">
        <v>51</v>
      </c>
      <c r="M341" s="8" t="s">
        <v>256</v>
      </c>
      <c r="N341" s="8" t="s">
        <v>1719</v>
      </c>
    </row>
    <row r="342" spans="1:14" s="1" customFormat="1" x14ac:dyDescent="0.25">
      <c r="A342" s="8" t="s">
        <v>1712</v>
      </c>
      <c r="B342" s="8" t="s">
        <v>249</v>
      </c>
      <c r="C342" s="8" t="s">
        <v>1720</v>
      </c>
      <c r="D342" s="8" t="s">
        <v>1720</v>
      </c>
      <c r="E342" s="8"/>
      <c r="F342" s="8" t="s">
        <v>206</v>
      </c>
      <c r="G342" s="8" t="s">
        <v>1721</v>
      </c>
      <c r="H342" s="8" t="s">
        <v>1716</v>
      </c>
      <c r="I342" s="8" t="s">
        <v>1717</v>
      </c>
      <c r="J342" s="8" t="s">
        <v>1722</v>
      </c>
      <c r="K342" s="8" t="s">
        <v>1723</v>
      </c>
      <c r="L342" s="8" t="s">
        <v>51</v>
      </c>
      <c r="M342" s="8" t="s">
        <v>149</v>
      </c>
      <c r="N342" s="8"/>
    </row>
    <row r="343" spans="1:14" s="1" customFormat="1" x14ac:dyDescent="0.25">
      <c r="A343" s="8" t="s">
        <v>1712</v>
      </c>
      <c r="B343" s="8" t="s">
        <v>249</v>
      </c>
      <c r="C343" s="8" t="s">
        <v>1724</v>
      </c>
      <c r="D343" s="8" t="s">
        <v>1724</v>
      </c>
      <c r="E343" s="8" t="s">
        <v>1725</v>
      </c>
      <c r="F343" s="8" t="s">
        <v>206</v>
      </c>
      <c r="G343" s="8" t="s">
        <v>1726</v>
      </c>
      <c r="H343" s="8" t="s">
        <v>1716</v>
      </c>
      <c r="I343" s="8" t="s">
        <v>1717</v>
      </c>
      <c r="J343" s="8" t="s">
        <v>1727</v>
      </c>
      <c r="K343" s="8" t="s">
        <v>1728</v>
      </c>
      <c r="L343" s="8" t="s">
        <v>51</v>
      </c>
      <c r="M343" s="8" t="s">
        <v>82</v>
      </c>
      <c r="N343" s="8" t="s">
        <v>1729</v>
      </c>
    </row>
    <row r="344" spans="1:14" s="1" customFormat="1" x14ac:dyDescent="0.25">
      <c r="A344" s="8" t="s">
        <v>1712</v>
      </c>
      <c r="B344" s="8" t="s">
        <v>249</v>
      </c>
      <c r="C344" s="8" t="s">
        <v>1730</v>
      </c>
      <c r="D344" s="8" t="s">
        <v>1730</v>
      </c>
      <c r="E344" s="8" t="s">
        <v>1731</v>
      </c>
      <c r="F344" s="8" t="s">
        <v>76</v>
      </c>
      <c r="G344" s="8" t="s">
        <v>1732</v>
      </c>
      <c r="H344" s="8" t="s">
        <v>1716</v>
      </c>
      <c r="I344" s="8" t="s">
        <v>1733</v>
      </c>
      <c r="J344" s="8" t="s">
        <v>1733</v>
      </c>
      <c r="K344" s="8" t="s">
        <v>148</v>
      </c>
      <c r="L344" s="8" t="s">
        <v>51</v>
      </c>
      <c r="M344" s="8" t="s">
        <v>149</v>
      </c>
      <c r="N344" s="8"/>
    </row>
    <row r="345" spans="1:14" s="1" customFormat="1" x14ac:dyDescent="0.25">
      <c r="A345" s="8" t="s">
        <v>1712</v>
      </c>
      <c r="B345" s="8" t="s">
        <v>249</v>
      </c>
      <c r="C345" s="8" t="s">
        <v>1734</v>
      </c>
      <c r="D345" s="8" t="s">
        <v>1734</v>
      </c>
      <c r="E345" s="8" t="s">
        <v>1735</v>
      </c>
      <c r="F345" s="8" t="s">
        <v>76</v>
      </c>
      <c r="G345" s="8" t="s">
        <v>1736</v>
      </c>
      <c r="H345" s="8" t="s">
        <v>465</v>
      </c>
      <c r="I345" s="8" t="s">
        <v>1736</v>
      </c>
      <c r="J345" s="8" t="s">
        <v>1736</v>
      </c>
      <c r="K345" s="8" t="s">
        <v>1737</v>
      </c>
      <c r="L345" s="8" t="s">
        <v>51</v>
      </c>
      <c r="M345" s="8" t="s">
        <v>82</v>
      </c>
      <c r="N345" s="8" t="s">
        <v>1738</v>
      </c>
    </row>
    <row r="346" spans="1:14" s="1" customFormat="1" x14ac:dyDescent="0.25">
      <c r="A346" s="8" t="s">
        <v>1712</v>
      </c>
      <c r="B346" s="8" t="s">
        <v>249</v>
      </c>
      <c r="C346" s="8" t="s">
        <v>1739</v>
      </c>
      <c r="D346" s="8" t="s">
        <v>1640</v>
      </c>
      <c r="E346" s="8" t="s">
        <v>1740</v>
      </c>
      <c r="F346" s="8" t="s">
        <v>76</v>
      </c>
      <c r="G346" s="8" t="s">
        <v>1741</v>
      </c>
      <c r="H346" s="8" t="s">
        <v>1716</v>
      </c>
      <c r="I346" s="8" t="s">
        <v>1717</v>
      </c>
      <c r="J346" s="8" t="s">
        <v>1717</v>
      </c>
      <c r="K346" s="8" t="s">
        <v>1742</v>
      </c>
      <c r="L346" s="8" t="s">
        <v>51</v>
      </c>
      <c r="M346" s="8" t="s">
        <v>149</v>
      </c>
      <c r="N346" s="8"/>
    </row>
    <row r="347" spans="1:14" s="1" customFormat="1" x14ac:dyDescent="0.25">
      <c r="A347" s="8" t="s">
        <v>1712</v>
      </c>
      <c r="B347" s="8" t="s">
        <v>249</v>
      </c>
      <c r="C347" s="8" t="s">
        <v>1743</v>
      </c>
      <c r="D347" s="8" t="s">
        <v>1744</v>
      </c>
      <c r="E347" s="8" t="s">
        <v>1745</v>
      </c>
      <c r="F347" s="8" t="s">
        <v>158</v>
      </c>
      <c r="G347" s="8" t="s">
        <v>1746</v>
      </c>
      <c r="H347" s="8" t="s">
        <v>1716</v>
      </c>
      <c r="I347" s="8" t="s">
        <v>1716</v>
      </c>
      <c r="J347" s="8" t="s">
        <v>1716</v>
      </c>
      <c r="K347" s="8" t="s">
        <v>1747</v>
      </c>
      <c r="L347" s="8" t="s">
        <v>51</v>
      </c>
      <c r="M347" s="8" t="s">
        <v>104</v>
      </c>
      <c r="N347" s="8" t="s">
        <v>1748</v>
      </c>
    </row>
    <row r="348" spans="1:14" s="1" customFormat="1" x14ac:dyDescent="0.25">
      <c r="A348" s="8" t="s">
        <v>1712</v>
      </c>
      <c r="B348" s="8" t="s">
        <v>249</v>
      </c>
      <c r="C348" s="8" t="s">
        <v>1749</v>
      </c>
      <c r="D348" s="8" t="s">
        <v>1749</v>
      </c>
      <c r="E348" s="8" t="s">
        <v>1750</v>
      </c>
      <c r="F348" s="8" t="s">
        <v>158</v>
      </c>
      <c r="G348" s="8" t="s">
        <v>1751</v>
      </c>
      <c r="H348" s="8" t="s">
        <v>1716</v>
      </c>
      <c r="I348" s="8" t="s">
        <v>1717</v>
      </c>
      <c r="J348" s="8" t="s">
        <v>1717</v>
      </c>
      <c r="K348" s="8" t="s">
        <v>1752</v>
      </c>
      <c r="L348" s="8" t="s">
        <v>51</v>
      </c>
      <c r="M348" s="8" t="s">
        <v>104</v>
      </c>
      <c r="N348" s="8" t="s">
        <v>1753</v>
      </c>
    </row>
    <row r="349" spans="1:14" s="1" customFormat="1" x14ac:dyDescent="0.25">
      <c r="A349" s="8" t="s">
        <v>1712</v>
      </c>
      <c r="B349" s="8" t="s">
        <v>249</v>
      </c>
      <c r="C349" s="8" t="s">
        <v>1754</v>
      </c>
      <c r="D349" s="8" t="s">
        <v>1755</v>
      </c>
      <c r="E349" s="8" t="s">
        <v>1756</v>
      </c>
      <c r="F349" s="8" t="s">
        <v>288</v>
      </c>
      <c r="G349" s="8" t="s">
        <v>1757</v>
      </c>
      <c r="H349" s="8" t="s">
        <v>1716</v>
      </c>
      <c r="I349" s="8" t="s">
        <v>1717</v>
      </c>
      <c r="J349" s="8" t="s">
        <v>1617</v>
      </c>
      <c r="K349" s="8" t="s">
        <v>1758</v>
      </c>
      <c r="L349" s="8" t="s">
        <v>51</v>
      </c>
      <c r="M349" s="8" t="s">
        <v>104</v>
      </c>
      <c r="N349" s="8" t="s">
        <v>1759</v>
      </c>
    </row>
    <row r="350" spans="1:14" s="1" customFormat="1" x14ac:dyDescent="0.25">
      <c r="A350" s="8" t="s">
        <v>1712</v>
      </c>
      <c r="B350" s="8" t="s">
        <v>249</v>
      </c>
      <c r="C350" s="8" t="s">
        <v>1760</v>
      </c>
      <c r="D350" s="8" t="s">
        <v>1760</v>
      </c>
      <c r="E350" s="8" t="s">
        <v>1761</v>
      </c>
      <c r="F350" s="8" t="s">
        <v>288</v>
      </c>
      <c r="G350" s="8" t="s">
        <v>1762</v>
      </c>
      <c r="H350" s="8" t="s">
        <v>1716</v>
      </c>
      <c r="I350" s="8" t="s">
        <v>1717</v>
      </c>
      <c r="J350" s="8" t="s">
        <v>1763</v>
      </c>
      <c r="K350" s="8" t="s">
        <v>1764</v>
      </c>
      <c r="L350" s="8" t="s">
        <v>51</v>
      </c>
      <c r="M350" s="8" t="s">
        <v>104</v>
      </c>
      <c r="N350" s="8" t="s">
        <v>1765</v>
      </c>
    </row>
    <row r="351" spans="1:14" s="1" customFormat="1" x14ac:dyDescent="0.25">
      <c r="A351" s="8" t="s">
        <v>1712</v>
      </c>
      <c r="B351" s="8" t="s">
        <v>249</v>
      </c>
      <c r="C351" s="8" t="s">
        <v>1766</v>
      </c>
      <c r="D351" s="8" t="s">
        <v>1766</v>
      </c>
      <c r="E351" s="8"/>
      <c r="F351" s="8" t="s">
        <v>288</v>
      </c>
      <c r="G351" s="8" t="s">
        <v>1767</v>
      </c>
      <c r="H351" s="8" t="s">
        <v>1716</v>
      </c>
      <c r="I351" s="8" t="s">
        <v>818</v>
      </c>
      <c r="J351" s="8" t="s">
        <v>818</v>
      </c>
      <c r="K351" s="8" t="s">
        <v>1768</v>
      </c>
      <c r="L351" s="8" t="s">
        <v>295</v>
      </c>
      <c r="M351" s="8" t="s">
        <v>149</v>
      </c>
      <c r="N351" s="8"/>
    </row>
    <row r="352" spans="1:14" s="1" customFormat="1" x14ac:dyDescent="0.25">
      <c r="A352" s="8" t="s">
        <v>1712</v>
      </c>
      <c r="B352" s="8" t="s">
        <v>249</v>
      </c>
      <c r="C352" s="8" t="s">
        <v>1769</v>
      </c>
      <c r="D352" s="8" t="s">
        <v>1769</v>
      </c>
      <c r="E352" s="8" t="s">
        <v>1770</v>
      </c>
      <c r="F352" s="8" t="s">
        <v>164</v>
      </c>
      <c r="G352" s="8" t="s">
        <v>1771</v>
      </c>
      <c r="H352" s="8" t="s">
        <v>1716</v>
      </c>
      <c r="I352" s="8" t="s">
        <v>1717</v>
      </c>
      <c r="J352" s="8" t="s">
        <v>1772</v>
      </c>
      <c r="K352" s="8" t="s">
        <v>1773</v>
      </c>
      <c r="L352" s="8" t="s">
        <v>51</v>
      </c>
      <c r="M352" s="8" t="s">
        <v>104</v>
      </c>
      <c r="N352" s="8" t="s">
        <v>1774</v>
      </c>
    </row>
    <row r="353" spans="1:14" s="1" customFormat="1" x14ac:dyDescent="0.25">
      <c r="A353" s="8" t="s">
        <v>1712</v>
      </c>
      <c r="B353" s="8" t="s">
        <v>249</v>
      </c>
      <c r="C353" s="8" t="s">
        <v>1775</v>
      </c>
      <c r="D353" s="8" t="s">
        <v>1775</v>
      </c>
      <c r="E353" s="8" t="s">
        <v>1776</v>
      </c>
      <c r="F353" s="8" t="s">
        <v>164</v>
      </c>
      <c r="G353" s="8" t="s">
        <v>1777</v>
      </c>
      <c r="H353" s="8" t="s">
        <v>442</v>
      </c>
      <c r="I353" s="8" t="s">
        <v>1777</v>
      </c>
      <c r="J353" s="8" t="s">
        <v>1777</v>
      </c>
      <c r="K353" s="8" t="s">
        <v>1778</v>
      </c>
      <c r="L353" s="8" t="s">
        <v>51</v>
      </c>
      <c r="M353" s="8" t="s">
        <v>104</v>
      </c>
      <c r="N353" s="8" t="s">
        <v>1779</v>
      </c>
    </row>
    <row r="354" spans="1:14" s="1" customFormat="1" x14ac:dyDescent="0.25">
      <c r="A354" s="8" t="s">
        <v>1712</v>
      </c>
      <c r="B354" s="8" t="s">
        <v>249</v>
      </c>
      <c r="C354" s="8" t="s">
        <v>1780</v>
      </c>
      <c r="D354" s="8" t="s">
        <v>1780</v>
      </c>
      <c r="E354" s="8" t="s">
        <v>1781</v>
      </c>
      <c r="F354" s="8" t="s">
        <v>164</v>
      </c>
      <c r="G354" s="8" t="s">
        <v>1782</v>
      </c>
      <c r="H354" s="8" t="s">
        <v>442</v>
      </c>
      <c r="I354" s="8" t="s">
        <v>1782</v>
      </c>
      <c r="J354" s="8" t="s">
        <v>1782</v>
      </c>
      <c r="K354" s="8" t="s">
        <v>1778</v>
      </c>
      <c r="L354" s="8" t="s">
        <v>51</v>
      </c>
      <c r="M354" s="8" t="s">
        <v>104</v>
      </c>
      <c r="N354" s="8" t="s">
        <v>1783</v>
      </c>
    </row>
    <row r="355" spans="1:14" s="1" customFormat="1" x14ac:dyDescent="0.25">
      <c r="A355" s="8" t="s">
        <v>1712</v>
      </c>
      <c r="B355" s="8" t="s">
        <v>249</v>
      </c>
      <c r="C355" s="8" t="s">
        <v>1784</v>
      </c>
      <c r="D355" s="8" t="s">
        <v>1784</v>
      </c>
      <c r="E355" s="8" t="s">
        <v>1785</v>
      </c>
      <c r="F355" s="8" t="s">
        <v>164</v>
      </c>
      <c r="G355" s="8" t="s">
        <v>1786</v>
      </c>
      <c r="H355" s="8" t="s">
        <v>1716</v>
      </c>
      <c r="I355" s="8" t="s">
        <v>1717</v>
      </c>
      <c r="J355" s="8" t="s">
        <v>1787</v>
      </c>
      <c r="K355" s="8" t="s">
        <v>190</v>
      </c>
      <c r="L355" s="8" t="s">
        <v>51</v>
      </c>
      <c r="M355" s="8" t="s">
        <v>104</v>
      </c>
      <c r="N355" s="8" t="s">
        <v>1788</v>
      </c>
    </row>
    <row r="356" spans="1:14" s="1" customFormat="1" x14ac:dyDescent="0.25">
      <c r="A356" s="8" t="s">
        <v>1712</v>
      </c>
      <c r="B356" s="8" t="s">
        <v>249</v>
      </c>
      <c r="C356" s="8" t="s">
        <v>1789</v>
      </c>
      <c r="D356" s="8" t="s">
        <v>1789</v>
      </c>
      <c r="E356" s="8" t="s">
        <v>1790</v>
      </c>
      <c r="F356" s="8" t="s">
        <v>100</v>
      </c>
      <c r="G356" s="8" t="s">
        <v>1791</v>
      </c>
      <c r="H356" s="8" t="s">
        <v>1716</v>
      </c>
      <c r="I356" s="8" t="s">
        <v>1717</v>
      </c>
      <c r="J356" s="8" t="s">
        <v>1791</v>
      </c>
      <c r="K356" s="8" t="s">
        <v>824</v>
      </c>
      <c r="L356" s="8" t="s">
        <v>51</v>
      </c>
      <c r="M356" s="8" t="s">
        <v>119</v>
      </c>
      <c r="N356" s="8" t="s">
        <v>1792</v>
      </c>
    </row>
    <row r="357" spans="1:14" s="1" customFormat="1" x14ac:dyDescent="0.25">
      <c r="A357" s="8" t="s">
        <v>1712</v>
      </c>
      <c r="B357" s="8" t="s">
        <v>249</v>
      </c>
      <c r="C357" s="8" t="s">
        <v>1793</v>
      </c>
      <c r="D357" s="8" t="s">
        <v>1793</v>
      </c>
      <c r="E357" s="8" t="s">
        <v>1794</v>
      </c>
      <c r="F357" s="8" t="s">
        <v>100</v>
      </c>
      <c r="G357" s="8" t="s">
        <v>1795</v>
      </c>
      <c r="H357" s="8" t="s">
        <v>1716</v>
      </c>
      <c r="I357" s="8" t="s">
        <v>1716</v>
      </c>
      <c r="J357" s="8" t="s">
        <v>1795</v>
      </c>
      <c r="K357" s="8" t="s">
        <v>824</v>
      </c>
      <c r="L357" s="8" t="s">
        <v>51</v>
      </c>
      <c r="M357" s="8" t="s">
        <v>119</v>
      </c>
      <c r="N357" s="8" t="s">
        <v>1796</v>
      </c>
    </row>
    <row r="358" spans="1:14" s="1" customFormat="1" x14ac:dyDescent="0.25">
      <c r="A358" s="8" t="s">
        <v>1712</v>
      </c>
      <c r="B358" s="8" t="s">
        <v>249</v>
      </c>
      <c r="C358" s="8" t="s">
        <v>1797</v>
      </c>
      <c r="D358" s="8" t="s">
        <v>1797</v>
      </c>
      <c r="E358" s="8" t="s">
        <v>1798</v>
      </c>
      <c r="F358" s="8" t="s">
        <v>100</v>
      </c>
      <c r="G358" s="8" t="s">
        <v>1799</v>
      </c>
      <c r="H358" s="8" t="s">
        <v>1716</v>
      </c>
      <c r="I358" s="8" t="s">
        <v>1716</v>
      </c>
      <c r="J358" s="8" t="s">
        <v>1799</v>
      </c>
      <c r="K358" s="8" t="s">
        <v>824</v>
      </c>
      <c r="L358" s="8" t="s">
        <v>51</v>
      </c>
      <c r="M358" s="8" t="s">
        <v>119</v>
      </c>
      <c r="N358" s="8" t="s">
        <v>1800</v>
      </c>
    </row>
    <row r="359" spans="1:14" s="1" customFormat="1" x14ac:dyDescent="0.25">
      <c r="A359" s="8" t="s">
        <v>1712</v>
      </c>
      <c r="B359" s="8" t="s">
        <v>249</v>
      </c>
      <c r="C359" s="8" t="s">
        <v>1801</v>
      </c>
      <c r="D359" s="8" t="s">
        <v>1801</v>
      </c>
      <c r="E359" s="8" t="s">
        <v>1802</v>
      </c>
      <c r="F359" s="8" t="s">
        <v>100</v>
      </c>
      <c r="G359" s="8" t="s">
        <v>1803</v>
      </c>
      <c r="H359" s="8" t="s">
        <v>1716</v>
      </c>
      <c r="I359" s="8" t="s">
        <v>1717</v>
      </c>
      <c r="J359" s="8" t="s">
        <v>1803</v>
      </c>
      <c r="K359" s="8" t="s">
        <v>1804</v>
      </c>
      <c r="L359" s="8" t="s">
        <v>51</v>
      </c>
      <c r="M359" s="8" t="s">
        <v>104</v>
      </c>
      <c r="N359" s="8" t="s">
        <v>1805</v>
      </c>
    </row>
    <row r="360" spans="1:14" s="1" customFormat="1" x14ac:dyDescent="0.25">
      <c r="A360" s="8" t="s">
        <v>1712</v>
      </c>
      <c r="B360" s="8" t="s">
        <v>249</v>
      </c>
      <c r="C360" s="8" t="s">
        <v>1806</v>
      </c>
      <c r="D360" s="8" t="s">
        <v>1806</v>
      </c>
      <c r="E360" s="8" t="s">
        <v>1807</v>
      </c>
      <c r="F360" s="8" t="s">
        <v>187</v>
      </c>
      <c r="G360" s="8" t="s">
        <v>1808</v>
      </c>
      <c r="H360" s="8" t="s">
        <v>1716</v>
      </c>
      <c r="I360" s="8" t="s">
        <v>1716</v>
      </c>
      <c r="J360" s="8" t="s">
        <v>1808</v>
      </c>
      <c r="K360" s="8" t="s">
        <v>190</v>
      </c>
      <c r="L360" s="8" t="s">
        <v>51</v>
      </c>
      <c r="M360" s="8" t="s">
        <v>119</v>
      </c>
      <c r="N360" s="8" t="s">
        <v>1809</v>
      </c>
    </row>
    <row r="361" spans="1:14" s="1" customFormat="1" x14ac:dyDescent="0.25">
      <c r="A361" s="8" t="s">
        <v>1712</v>
      </c>
      <c r="B361" s="8" t="s">
        <v>249</v>
      </c>
      <c r="C361" s="8" t="s">
        <v>1810</v>
      </c>
      <c r="D361" s="8" t="s">
        <v>1810</v>
      </c>
      <c r="E361" s="8" t="s">
        <v>1811</v>
      </c>
      <c r="F361" s="8" t="s">
        <v>187</v>
      </c>
      <c r="G361" s="8" t="s">
        <v>1812</v>
      </c>
      <c r="H361" s="8" t="s">
        <v>1716</v>
      </c>
      <c r="I361" s="8" t="s">
        <v>1717</v>
      </c>
      <c r="J361" s="8" t="s">
        <v>1812</v>
      </c>
      <c r="K361" s="8" t="s">
        <v>190</v>
      </c>
      <c r="L361" s="8" t="s">
        <v>51</v>
      </c>
      <c r="M361" s="8" t="s">
        <v>119</v>
      </c>
      <c r="N361" s="8" t="s">
        <v>1813</v>
      </c>
    </row>
    <row r="362" spans="1:14" s="1" customFormat="1" x14ac:dyDescent="0.25">
      <c r="A362" s="8" t="s">
        <v>1712</v>
      </c>
      <c r="B362" s="8" t="s">
        <v>249</v>
      </c>
      <c r="C362" s="8" t="s">
        <v>1814</v>
      </c>
      <c r="D362" s="8" t="s">
        <v>1814</v>
      </c>
      <c r="E362" s="8" t="s">
        <v>1815</v>
      </c>
      <c r="F362" s="8" t="s">
        <v>187</v>
      </c>
      <c r="G362" s="8" t="s">
        <v>1816</v>
      </c>
      <c r="H362" s="8" t="s">
        <v>442</v>
      </c>
      <c r="I362" s="8" t="s">
        <v>1816</v>
      </c>
      <c r="J362" s="8" t="s">
        <v>1816</v>
      </c>
      <c r="K362" s="8" t="s">
        <v>190</v>
      </c>
      <c r="L362" s="8" t="s">
        <v>51</v>
      </c>
      <c r="M362" s="8" t="s">
        <v>119</v>
      </c>
      <c r="N362" s="8" t="s">
        <v>1817</v>
      </c>
    </row>
    <row r="363" spans="1:14" s="1" customFormat="1" x14ac:dyDescent="0.25">
      <c r="A363" s="8" t="s">
        <v>1712</v>
      </c>
      <c r="B363" s="8" t="s">
        <v>249</v>
      </c>
      <c r="C363" s="8" t="s">
        <v>1818</v>
      </c>
      <c r="D363" s="8" t="s">
        <v>1818</v>
      </c>
      <c r="E363" s="8" t="s">
        <v>1819</v>
      </c>
      <c r="F363" s="8" t="s">
        <v>187</v>
      </c>
      <c r="G363" s="8" t="s">
        <v>1820</v>
      </c>
      <c r="H363" s="8" t="s">
        <v>1716</v>
      </c>
      <c r="I363" s="8" t="s">
        <v>1716</v>
      </c>
      <c r="J363" s="8" t="s">
        <v>1821</v>
      </c>
      <c r="K363" s="8" t="s">
        <v>190</v>
      </c>
      <c r="L363" s="8" t="s">
        <v>51</v>
      </c>
      <c r="M363" s="8" t="s">
        <v>119</v>
      </c>
      <c r="N363" s="8" t="s">
        <v>1822</v>
      </c>
    </row>
    <row r="364" spans="1:14" s="1" customFormat="1" x14ac:dyDescent="0.25">
      <c r="A364" s="8" t="s">
        <v>1712</v>
      </c>
      <c r="B364" s="8" t="s">
        <v>249</v>
      </c>
      <c r="C364" s="8" t="s">
        <v>1823</v>
      </c>
      <c r="D364" s="8" t="s">
        <v>1823</v>
      </c>
      <c r="E364" s="8" t="s">
        <v>1824</v>
      </c>
      <c r="F364" s="8" t="s">
        <v>187</v>
      </c>
      <c r="G364" s="8" t="s">
        <v>1825</v>
      </c>
      <c r="H364" s="8" t="s">
        <v>1716</v>
      </c>
      <c r="I364" s="8" t="s">
        <v>1717</v>
      </c>
      <c r="J364" s="8" t="s">
        <v>1826</v>
      </c>
      <c r="K364" s="8" t="s">
        <v>190</v>
      </c>
      <c r="L364" s="8" t="s">
        <v>51</v>
      </c>
      <c r="M364" s="8" t="s">
        <v>119</v>
      </c>
      <c r="N364" s="8" t="s">
        <v>1827</v>
      </c>
    </row>
    <row r="365" spans="1:14" s="1" customFormat="1" x14ac:dyDescent="0.25">
      <c r="A365" s="8" t="s">
        <v>1828</v>
      </c>
      <c r="B365" s="8" t="s">
        <v>249</v>
      </c>
      <c r="C365" s="8" t="s">
        <v>1829</v>
      </c>
      <c r="D365" s="8" t="s">
        <v>1829</v>
      </c>
      <c r="E365" s="8" t="s">
        <v>1830</v>
      </c>
      <c r="F365" s="8" t="s">
        <v>252</v>
      </c>
      <c r="G365" s="8" t="s">
        <v>1831</v>
      </c>
      <c r="H365" s="8" t="s">
        <v>48</v>
      </c>
      <c r="I365" s="8" t="s">
        <v>48</v>
      </c>
      <c r="J365" s="8" t="s">
        <v>49</v>
      </c>
      <c r="K365" s="8" t="s">
        <v>1618</v>
      </c>
      <c r="L365" s="8" t="s">
        <v>51</v>
      </c>
      <c r="M365" s="8" t="s">
        <v>1619</v>
      </c>
      <c r="N365" s="8" t="s">
        <v>1832</v>
      </c>
    </row>
    <row r="366" spans="1:14" s="1" customFormat="1" x14ac:dyDescent="0.25">
      <c r="A366" s="8" t="s">
        <v>1828</v>
      </c>
      <c r="B366" s="8" t="s">
        <v>249</v>
      </c>
      <c r="C366" s="8" t="s">
        <v>1833</v>
      </c>
      <c r="D366" s="8" t="s">
        <v>1833</v>
      </c>
      <c r="E366" s="8" t="s">
        <v>1834</v>
      </c>
      <c r="F366" s="8" t="s">
        <v>144</v>
      </c>
      <c r="G366" s="8" t="s">
        <v>1835</v>
      </c>
      <c r="H366" s="8" t="s">
        <v>48</v>
      </c>
      <c r="I366" s="8" t="s">
        <v>48</v>
      </c>
      <c r="J366" s="8" t="s">
        <v>304</v>
      </c>
      <c r="K366" s="8" t="s">
        <v>1836</v>
      </c>
      <c r="L366" s="8" t="s">
        <v>51</v>
      </c>
      <c r="M366" s="8" t="s">
        <v>210</v>
      </c>
      <c r="N366" s="8" t="s">
        <v>1837</v>
      </c>
    </row>
    <row r="367" spans="1:14" s="1" customFormat="1" x14ac:dyDescent="0.25">
      <c r="A367" s="8" t="s">
        <v>1828</v>
      </c>
      <c r="B367" s="8" t="s">
        <v>249</v>
      </c>
      <c r="C367" s="8" t="s">
        <v>1838</v>
      </c>
      <c r="D367" s="8" t="s">
        <v>1838</v>
      </c>
      <c r="E367" s="8" t="s">
        <v>1839</v>
      </c>
      <c r="F367" s="8" t="s">
        <v>206</v>
      </c>
      <c r="G367" s="8" t="s">
        <v>1840</v>
      </c>
      <c r="H367" s="8" t="s">
        <v>48</v>
      </c>
      <c r="I367" s="8" t="s">
        <v>1840</v>
      </c>
      <c r="J367" s="8" t="s">
        <v>1841</v>
      </c>
      <c r="K367" s="8" t="s">
        <v>148</v>
      </c>
      <c r="L367" s="8" t="s">
        <v>51</v>
      </c>
      <c r="M367" s="8" t="s">
        <v>82</v>
      </c>
      <c r="N367" s="8" t="s">
        <v>1842</v>
      </c>
    </row>
    <row r="368" spans="1:14" s="1" customFormat="1" x14ac:dyDescent="0.25">
      <c r="A368" s="8" t="s">
        <v>1828</v>
      </c>
      <c r="B368" s="8" t="s">
        <v>249</v>
      </c>
      <c r="C368" s="8" t="s">
        <v>1843</v>
      </c>
      <c r="D368" s="8" t="s">
        <v>1843</v>
      </c>
      <c r="E368" s="8" t="s">
        <v>1844</v>
      </c>
      <c r="F368" s="8" t="s">
        <v>76</v>
      </c>
      <c r="G368" s="8" t="s">
        <v>1845</v>
      </c>
      <c r="H368" s="8" t="s">
        <v>48</v>
      </c>
      <c r="I368" s="8" t="s">
        <v>48</v>
      </c>
      <c r="J368" s="8" t="s">
        <v>1846</v>
      </c>
      <c r="K368" s="8" t="s">
        <v>1847</v>
      </c>
      <c r="L368" s="8" t="s">
        <v>51</v>
      </c>
      <c r="M368" s="8" t="s">
        <v>82</v>
      </c>
      <c r="N368" s="8" t="s">
        <v>1848</v>
      </c>
    </row>
    <row r="369" spans="1:14" s="1" customFormat="1" x14ac:dyDescent="0.25">
      <c r="A369" s="8" t="s">
        <v>1828</v>
      </c>
      <c r="B369" s="8" t="s">
        <v>249</v>
      </c>
      <c r="C369" s="8" t="s">
        <v>1849</v>
      </c>
      <c r="D369" s="8" t="s">
        <v>950</v>
      </c>
      <c r="E369" s="8" t="s">
        <v>1850</v>
      </c>
      <c r="F369" s="8" t="s">
        <v>76</v>
      </c>
      <c r="G369" s="8" t="s">
        <v>1851</v>
      </c>
      <c r="H369" s="8" t="s">
        <v>48</v>
      </c>
      <c r="I369" s="8" t="s">
        <v>48</v>
      </c>
      <c r="J369" s="8" t="s">
        <v>1852</v>
      </c>
      <c r="K369" s="8" t="s">
        <v>1853</v>
      </c>
      <c r="L369" s="8" t="s">
        <v>51</v>
      </c>
      <c r="M369" s="8" t="s">
        <v>82</v>
      </c>
      <c r="N369" s="8" t="s">
        <v>1854</v>
      </c>
    </row>
    <row r="370" spans="1:14" s="1" customFormat="1" x14ac:dyDescent="0.25">
      <c r="A370" s="8" t="s">
        <v>1828</v>
      </c>
      <c r="B370" s="8" t="s">
        <v>249</v>
      </c>
      <c r="C370" s="8" t="s">
        <v>1855</v>
      </c>
      <c r="D370" s="8" t="s">
        <v>1855</v>
      </c>
      <c r="E370" s="8" t="s">
        <v>1856</v>
      </c>
      <c r="F370" s="8" t="s">
        <v>158</v>
      </c>
      <c r="G370" s="8" t="s">
        <v>1857</v>
      </c>
      <c r="H370" s="8" t="s">
        <v>48</v>
      </c>
      <c r="I370" s="8" t="s">
        <v>48</v>
      </c>
      <c r="J370" s="8" t="s">
        <v>304</v>
      </c>
      <c r="K370" s="8" t="s">
        <v>1858</v>
      </c>
      <c r="L370" s="8" t="s">
        <v>51</v>
      </c>
      <c r="M370" s="8" t="s">
        <v>104</v>
      </c>
      <c r="N370" s="8" t="s">
        <v>1859</v>
      </c>
    </row>
    <row r="371" spans="1:14" s="1" customFormat="1" x14ac:dyDescent="0.25">
      <c r="A371" s="8" t="s">
        <v>1828</v>
      </c>
      <c r="B371" s="8" t="s">
        <v>249</v>
      </c>
      <c r="C371" s="8" t="s">
        <v>1860</v>
      </c>
      <c r="D371" s="8" t="s">
        <v>1860</v>
      </c>
      <c r="E371" s="8" t="s">
        <v>1861</v>
      </c>
      <c r="F371" s="8" t="s">
        <v>158</v>
      </c>
      <c r="G371" s="8" t="s">
        <v>733</v>
      </c>
      <c r="H371" s="8" t="s">
        <v>48</v>
      </c>
      <c r="I371" s="8" t="s">
        <v>48</v>
      </c>
      <c r="J371" s="8" t="s">
        <v>48</v>
      </c>
      <c r="K371" s="8" t="s">
        <v>148</v>
      </c>
      <c r="L371" s="8" t="s">
        <v>51</v>
      </c>
      <c r="M371" s="8" t="s">
        <v>104</v>
      </c>
      <c r="N371" s="8" t="s">
        <v>1862</v>
      </c>
    </row>
    <row r="372" spans="1:14" s="1" customFormat="1" x14ac:dyDescent="0.25">
      <c r="A372" s="8" t="s">
        <v>1828</v>
      </c>
      <c r="B372" s="8" t="s">
        <v>249</v>
      </c>
      <c r="C372" s="8" t="s">
        <v>1863</v>
      </c>
      <c r="D372" s="8" t="s">
        <v>1863</v>
      </c>
      <c r="E372" s="8" t="s">
        <v>1864</v>
      </c>
      <c r="F372" s="8" t="s">
        <v>158</v>
      </c>
      <c r="G372" s="8" t="s">
        <v>1865</v>
      </c>
      <c r="H372" s="8" t="s">
        <v>48</v>
      </c>
      <c r="I372" s="8" t="s">
        <v>48</v>
      </c>
      <c r="J372" s="8" t="s">
        <v>1866</v>
      </c>
      <c r="K372" s="8" t="s">
        <v>1867</v>
      </c>
      <c r="L372" s="8" t="s">
        <v>51</v>
      </c>
      <c r="M372" s="8" t="s">
        <v>104</v>
      </c>
      <c r="N372" s="8" t="s">
        <v>1868</v>
      </c>
    </row>
    <row r="373" spans="1:14" s="1" customFormat="1" x14ac:dyDescent="0.25">
      <c r="A373" s="8" t="s">
        <v>1828</v>
      </c>
      <c r="B373" s="8" t="s">
        <v>249</v>
      </c>
      <c r="C373" s="8" t="s">
        <v>1869</v>
      </c>
      <c r="D373" s="8" t="s">
        <v>1869</v>
      </c>
      <c r="E373" s="8" t="s">
        <v>1870</v>
      </c>
      <c r="F373" s="8" t="s">
        <v>158</v>
      </c>
      <c r="G373" s="8" t="s">
        <v>1871</v>
      </c>
      <c r="H373" s="8" t="s">
        <v>1872</v>
      </c>
      <c r="I373" s="8" t="s">
        <v>48</v>
      </c>
      <c r="J373" s="8" t="s">
        <v>49</v>
      </c>
      <c r="K373" s="8" t="s">
        <v>1873</v>
      </c>
      <c r="L373" s="8" t="s">
        <v>51</v>
      </c>
      <c r="M373" s="8" t="s">
        <v>104</v>
      </c>
      <c r="N373" s="8" t="s">
        <v>1874</v>
      </c>
    </row>
    <row r="374" spans="1:14" s="1" customFormat="1" x14ac:dyDescent="0.25">
      <c r="A374" s="8" t="s">
        <v>1828</v>
      </c>
      <c r="B374" s="8" t="s">
        <v>249</v>
      </c>
      <c r="C374" s="8" t="s">
        <v>1875</v>
      </c>
      <c r="D374" s="8" t="s">
        <v>1875</v>
      </c>
      <c r="E374" s="8" t="s">
        <v>1876</v>
      </c>
      <c r="F374" s="8" t="s">
        <v>158</v>
      </c>
      <c r="G374" s="8" t="s">
        <v>1877</v>
      </c>
      <c r="H374" s="8" t="s">
        <v>48</v>
      </c>
      <c r="I374" s="8" t="s">
        <v>48</v>
      </c>
      <c r="J374" s="8" t="s">
        <v>1878</v>
      </c>
      <c r="K374" s="8" t="s">
        <v>148</v>
      </c>
      <c r="L374" s="8" t="s">
        <v>51</v>
      </c>
      <c r="M374" s="8" t="s">
        <v>104</v>
      </c>
      <c r="N374" s="8" t="s">
        <v>1879</v>
      </c>
    </row>
    <row r="375" spans="1:14" s="1" customFormat="1" x14ac:dyDescent="0.25">
      <c r="A375" s="8" t="s">
        <v>1828</v>
      </c>
      <c r="B375" s="8" t="s">
        <v>249</v>
      </c>
      <c r="C375" s="8" t="s">
        <v>1880</v>
      </c>
      <c r="D375" s="8" t="s">
        <v>1880</v>
      </c>
      <c r="E375" s="8" t="s">
        <v>1881</v>
      </c>
      <c r="F375" s="8" t="s">
        <v>158</v>
      </c>
      <c r="G375" s="8" t="s">
        <v>1816</v>
      </c>
      <c r="H375" s="8" t="s">
        <v>48</v>
      </c>
      <c r="I375" s="8" t="s">
        <v>48</v>
      </c>
      <c r="J375" s="8" t="s">
        <v>304</v>
      </c>
      <c r="K375" s="8" t="s">
        <v>1882</v>
      </c>
      <c r="L375" s="8" t="s">
        <v>51</v>
      </c>
      <c r="M375" s="8" t="s">
        <v>119</v>
      </c>
      <c r="N375" s="8" t="s">
        <v>1883</v>
      </c>
    </row>
    <row r="376" spans="1:14" s="1" customFormat="1" x14ac:dyDescent="0.25">
      <c r="A376" s="8" t="s">
        <v>1828</v>
      </c>
      <c r="B376" s="8" t="s">
        <v>249</v>
      </c>
      <c r="C376" s="8" t="s">
        <v>1884</v>
      </c>
      <c r="D376" s="8" t="s">
        <v>1884</v>
      </c>
      <c r="E376" s="8" t="s">
        <v>1885</v>
      </c>
      <c r="F376" s="8" t="s">
        <v>288</v>
      </c>
      <c r="G376" s="8" t="s">
        <v>1886</v>
      </c>
      <c r="H376" s="8" t="s">
        <v>48</v>
      </c>
      <c r="I376" s="8" t="s">
        <v>48</v>
      </c>
      <c r="J376" s="8" t="s">
        <v>1886</v>
      </c>
      <c r="K376" s="8" t="s">
        <v>1887</v>
      </c>
      <c r="L376" s="8" t="s">
        <v>51</v>
      </c>
      <c r="M376" s="8" t="s">
        <v>104</v>
      </c>
      <c r="N376" s="8" t="s">
        <v>1888</v>
      </c>
    </row>
    <row r="377" spans="1:14" s="1" customFormat="1" x14ac:dyDescent="0.25">
      <c r="A377" s="8" t="s">
        <v>1828</v>
      </c>
      <c r="B377" s="8" t="s">
        <v>249</v>
      </c>
      <c r="C377" s="8" t="s">
        <v>1889</v>
      </c>
      <c r="D377" s="8" t="s">
        <v>1889</v>
      </c>
      <c r="E377" s="8" t="s">
        <v>1890</v>
      </c>
      <c r="F377" s="8" t="s">
        <v>288</v>
      </c>
      <c r="G377" s="8" t="s">
        <v>1891</v>
      </c>
      <c r="H377" s="8" t="s">
        <v>48</v>
      </c>
      <c r="I377" s="8" t="s">
        <v>48</v>
      </c>
      <c r="J377" s="8" t="s">
        <v>1891</v>
      </c>
      <c r="K377" s="8" t="s">
        <v>1892</v>
      </c>
      <c r="L377" s="8" t="s">
        <v>51</v>
      </c>
      <c r="M377" s="8" t="s">
        <v>104</v>
      </c>
      <c r="N377" s="8" t="s">
        <v>1893</v>
      </c>
    </row>
    <row r="378" spans="1:14" s="1" customFormat="1" x14ac:dyDescent="0.25">
      <c r="A378" s="8" t="s">
        <v>1828</v>
      </c>
      <c r="B378" s="8" t="s">
        <v>249</v>
      </c>
      <c r="C378" s="8" t="s">
        <v>1894</v>
      </c>
      <c r="D378" s="8" t="s">
        <v>1894</v>
      </c>
      <c r="E378" s="8" t="s">
        <v>1895</v>
      </c>
      <c r="F378" s="8" t="s">
        <v>288</v>
      </c>
      <c r="G378" s="8" t="s">
        <v>1896</v>
      </c>
      <c r="H378" s="8" t="s">
        <v>48</v>
      </c>
      <c r="I378" s="8" t="s">
        <v>48</v>
      </c>
      <c r="J378" s="8" t="s">
        <v>1896</v>
      </c>
      <c r="K378" s="8" t="s">
        <v>1887</v>
      </c>
      <c r="L378" s="8" t="s">
        <v>51</v>
      </c>
      <c r="M378" s="8" t="s">
        <v>104</v>
      </c>
      <c r="N378" s="8" t="s">
        <v>1897</v>
      </c>
    </row>
    <row r="379" spans="1:14" s="1" customFormat="1" x14ac:dyDescent="0.25">
      <c r="A379" s="8" t="s">
        <v>1828</v>
      </c>
      <c r="B379" s="8" t="s">
        <v>249</v>
      </c>
      <c r="C379" s="8" t="s">
        <v>1898</v>
      </c>
      <c r="D379" s="8" t="s">
        <v>1898</v>
      </c>
      <c r="E379" s="8" t="s">
        <v>1899</v>
      </c>
      <c r="F379" s="8" t="s">
        <v>164</v>
      </c>
      <c r="G379" s="8" t="s">
        <v>1900</v>
      </c>
      <c r="H379" s="8" t="s">
        <v>48</v>
      </c>
      <c r="I379" s="8" t="s">
        <v>48</v>
      </c>
      <c r="J379" s="8" t="s">
        <v>49</v>
      </c>
      <c r="K379" s="8" t="s">
        <v>1901</v>
      </c>
      <c r="L379" s="8" t="s">
        <v>51</v>
      </c>
      <c r="M379" s="8" t="s">
        <v>119</v>
      </c>
      <c r="N379" s="8" t="s">
        <v>1902</v>
      </c>
    </row>
    <row r="380" spans="1:14" s="1" customFormat="1" x14ac:dyDescent="0.25">
      <c r="A380" s="8" t="s">
        <v>1828</v>
      </c>
      <c r="B380" s="8" t="s">
        <v>249</v>
      </c>
      <c r="C380" s="8" t="s">
        <v>1903</v>
      </c>
      <c r="D380" s="8" t="s">
        <v>1903</v>
      </c>
      <c r="E380" s="8" t="s">
        <v>1904</v>
      </c>
      <c r="F380" s="8" t="s">
        <v>164</v>
      </c>
      <c r="G380" s="8" t="s">
        <v>1905</v>
      </c>
      <c r="H380" s="8" t="s">
        <v>48</v>
      </c>
      <c r="I380" s="8" t="s">
        <v>1840</v>
      </c>
      <c r="J380" s="8" t="s">
        <v>1905</v>
      </c>
      <c r="K380" s="8" t="s">
        <v>1906</v>
      </c>
      <c r="L380" s="8" t="s">
        <v>51</v>
      </c>
      <c r="M380" s="8" t="s">
        <v>104</v>
      </c>
      <c r="N380" s="8" t="s">
        <v>1907</v>
      </c>
    </row>
    <row r="381" spans="1:14" s="1" customFormat="1" x14ac:dyDescent="0.25">
      <c r="A381" s="8" t="s">
        <v>1828</v>
      </c>
      <c r="B381" s="8" t="s">
        <v>249</v>
      </c>
      <c r="C381" s="8" t="s">
        <v>1908</v>
      </c>
      <c r="D381" s="8" t="s">
        <v>1908</v>
      </c>
      <c r="E381" s="8" t="s">
        <v>1909</v>
      </c>
      <c r="F381" s="8" t="s">
        <v>100</v>
      </c>
      <c r="G381" s="8" t="s">
        <v>1910</v>
      </c>
      <c r="H381" s="8" t="s">
        <v>48</v>
      </c>
      <c r="I381" s="8" t="s">
        <v>48</v>
      </c>
      <c r="J381" s="8" t="s">
        <v>1910</v>
      </c>
      <c r="K381" s="8" t="s">
        <v>1911</v>
      </c>
      <c r="L381" s="8" t="s">
        <v>51</v>
      </c>
      <c r="M381" s="8" t="s">
        <v>104</v>
      </c>
      <c r="N381" s="8" t="s">
        <v>1912</v>
      </c>
    </row>
    <row r="382" spans="1:14" s="1" customFormat="1" x14ac:dyDescent="0.25">
      <c r="A382" s="8" t="s">
        <v>1828</v>
      </c>
      <c r="B382" s="8" t="s">
        <v>249</v>
      </c>
      <c r="C382" s="8" t="s">
        <v>1913</v>
      </c>
      <c r="D382" s="8" t="s">
        <v>1913</v>
      </c>
      <c r="E382" s="8"/>
      <c r="F382" s="8" t="s">
        <v>187</v>
      </c>
      <c r="G382" s="8" t="s">
        <v>1914</v>
      </c>
      <c r="H382" s="8" t="s">
        <v>48</v>
      </c>
      <c r="I382" s="8" t="s">
        <v>1840</v>
      </c>
      <c r="J382" s="8" t="s">
        <v>1666</v>
      </c>
      <c r="K382" s="8"/>
      <c r="L382" s="8" t="s">
        <v>349</v>
      </c>
      <c r="M382" s="8" t="s">
        <v>149</v>
      </c>
      <c r="N382" s="8"/>
    </row>
    <row r="383" spans="1:14" s="1" customFormat="1" x14ac:dyDescent="0.25">
      <c r="A383" s="8" t="s">
        <v>1828</v>
      </c>
      <c r="B383" s="8" t="s">
        <v>249</v>
      </c>
      <c r="C383" s="8" t="s">
        <v>1915</v>
      </c>
      <c r="D383" s="8" t="s">
        <v>1915</v>
      </c>
      <c r="E383" s="8"/>
      <c r="F383" s="8" t="s">
        <v>187</v>
      </c>
      <c r="G383" s="8" t="s">
        <v>1886</v>
      </c>
      <c r="H383" s="8" t="s">
        <v>48</v>
      </c>
      <c r="I383" s="8" t="s">
        <v>1840</v>
      </c>
      <c r="J383" s="8" t="s">
        <v>1916</v>
      </c>
      <c r="K383" s="8"/>
      <c r="L383" s="8" t="s">
        <v>349</v>
      </c>
      <c r="M383" s="8" t="s">
        <v>149</v>
      </c>
      <c r="N383" s="8"/>
    </row>
    <row r="384" spans="1:14" s="1" customFormat="1" x14ac:dyDescent="0.25">
      <c r="A384" s="8" t="s">
        <v>1828</v>
      </c>
      <c r="B384" s="8" t="s">
        <v>249</v>
      </c>
      <c r="C384" s="8" t="s">
        <v>1917</v>
      </c>
      <c r="D384" s="8" t="s">
        <v>1917</v>
      </c>
      <c r="E384" s="8" t="s">
        <v>1918</v>
      </c>
      <c r="F384" s="8" t="s">
        <v>76</v>
      </c>
      <c r="G384" s="8" t="s">
        <v>1919</v>
      </c>
      <c r="H384" s="8" t="s">
        <v>48</v>
      </c>
      <c r="I384" s="8" t="s">
        <v>48</v>
      </c>
      <c r="J384" s="8" t="s">
        <v>1918</v>
      </c>
      <c r="K384" s="8" t="s">
        <v>1918</v>
      </c>
      <c r="L384" s="8" t="s">
        <v>51</v>
      </c>
      <c r="M384" s="8" t="s">
        <v>82</v>
      </c>
      <c r="N384" s="8" t="s">
        <v>1918</v>
      </c>
    </row>
    <row r="385" spans="1:14" s="1" customFormat="1" x14ac:dyDescent="0.25">
      <c r="A385" s="8" t="s">
        <v>1920</v>
      </c>
      <c r="B385" s="8" t="s">
        <v>249</v>
      </c>
      <c r="C385" s="8" t="s">
        <v>1921</v>
      </c>
      <c r="D385" s="8" t="s">
        <v>1921</v>
      </c>
      <c r="E385" s="8" t="s">
        <v>1922</v>
      </c>
      <c r="F385" s="8" t="s">
        <v>252</v>
      </c>
      <c r="G385" s="8" t="s">
        <v>1923</v>
      </c>
      <c r="H385" s="8" t="s">
        <v>1924</v>
      </c>
      <c r="I385" s="8" t="s">
        <v>1924</v>
      </c>
      <c r="J385" s="8" t="s">
        <v>1553</v>
      </c>
      <c r="K385" s="8" t="s">
        <v>1925</v>
      </c>
      <c r="L385" s="8" t="s">
        <v>51</v>
      </c>
      <c r="M385" s="8" t="s">
        <v>256</v>
      </c>
      <c r="N385" s="8" t="s">
        <v>1926</v>
      </c>
    </row>
    <row r="386" spans="1:14" s="1" customFormat="1" x14ac:dyDescent="0.25">
      <c r="A386" s="8" t="s">
        <v>1920</v>
      </c>
      <c r="B386" s="8" t="s">
        <v>249</v>
      </c>
      <c r="C386" s="8" t="s">
        <v>1927</v>
      </c>
      <c r="D386" s="8" t="s">
        <v>1927</v>
      </c>
      <c r="E386" s="8" t="s">
        <v>1928</v>
      </c>
      <c r="F386" s="8" t="s">
        <v>206</v>
      </c>
      <c r="G386" s="8" t="s">
        <v>1929</v>
      </c>
      <c r="H386" s="8" t="s">
        <v>48</v>
      </c>
      <c r="I386" s="8" t="s">
        <v>1930</v>
      </c>
      <c r="J386" s="8" t="s">
        <v>1931</v>
      </c>
      <c r="K386" s="8" t="s">
        <v>148</v>
      </c>
      <c r="L386" s="8" t="s">
        <v>51</v>
      </c>
      <c r="M386" s="8" t="s">
        <v>210</v>
      </c>
      <c r="N386" s="8" t="s">
        <v>1932</v>
      </c>
    </row>
    <row r="387" spans="1:14" s="1" customFormat="1" x14ac:dyDescent="0.25">
      <c r="A387" s="8" t="s">
        <v>1920</v>
      </c>
      <c r="B387" s="8" t="s">
        <v>249</v>
      </c>
      <c r="C387" s="8" t="s">
        <v>1933</v>
      </c>
      <c r="D387" s="8" t="s">
        <v>1933</v>
      </c>
      <c r="E387" s="8" t="s">
        <v>1934</v>
      </c>
      <c r="F387" s="8" t="s">
        <v>206</v>
      </c>
      <c r="G387" s="8" t="s">
        <v>1935</v>
      </c>
      <c r="H387" s="8" t="s">
        <v>1924</v>
      </c>
      <c r="I387" s="8" t="s">
        <v>1924</v>
      </c>
      <c r="J387" s="8" t="s">
        <v>1924</v>
      </c>
      <c r="K387" s="8" t="s">
        <v>1936</v>
      </c>
      <c r="L387" s="8" t="s">
        <v>51</v>
      </c>
      <c r="M387" s="8" t="s">
        <v>210</v>
      </c>
      <c r="N387" s="8" t="s">
        <v>1937</v>
      </c>
    </row>
    <row r="388" spans="1:14" s="1" customFormat="1" x14ac:dyDescent="0.25">
      <c r="A388" s="8" t="s">
        <v>1920</v>
      </c>
      <c r="B388" s="8" t="s">
        <v>249</v>
      </c>
      <c r="C388" s="8" t="s">
        <v>1938</v>
      </c>
      <c r="D388" s="8" t="s">
        <v>1938</v>
      </c>
      <c r="E388" s="8" t="s">
        <v>1939</v>
      </c>
      <c r="F388" s="8" t="s">
        <v>76</v>
      </c>
      <c r="G388" s="8" t="s">
        <v>1940</v>
      </c>
      <c r="H388" s="8" t="s">
        <v>48</v>
      </c>
      <c r="I388" s="8" t="s">
        <v>48</v>
      </c>
      <c r="J388" s="8" t="s">
        <v>1941</v>
      </c>
      <c r="K388" s="8" t="s">
        <v>1942</v>
      </c>
      <c r="L388" s="8" t="s">
        <v>51</v>
      </c>
      <c r="M388" s="8" t="s">
        <v>82</v>
      </c>
      <c r="N388" s="8" t="s">
        <v>1943</v>
      </c>
    </row>
    <row r="389" spans="1:14" s="1" customFormat="1" x14ac:dyDescent="0.25">
      <c r="A389" s="8" t="s">
        <v>1920</v>
      </c>
      <c r="B389" s="8" t="s">
        <v>249</v>
      </c>
      <c r="C389" s="8" t="s">
        <v>1944</v>
      </c>
      <c r="D389" s="8" t="s">
        <v>1944</v>
      </c>
      <c r="E389" s="8" t="s">
        <v>1945</v>
      </c>
      <c r="F389" s="8" t="s">
        <v>76</v>
      </c>
      <c r="G389" s="8" t="s">
        <v>1946</v>
      </c>
      <c r="H389" s="8" t="s">
        <v>48</v>
      </c>
      <c r="I389" s="8" t="s">
        <v>48</v>
      </c>
      <c r="J389" s="8" t="s">
        <v>430</v>
      </c>
      <c r="K389" s="8" t="s">
        <v>1947</v>
      </c>
      <c r="L389" s="8" t="s">
        <v>51</v>
      </c>
      <c r="M389" s="8" t="s">
        <v>82</v>
      </c>
      <c r="N389" s="8" t="s">
        <v>1948</v>
      </c>
    </row>
    <row r="390" spans="1:14" s="1" customFormat="1" x14ac:dyDescent="0.25">
      <c r="A390" s="8" t="s">
        <v>1920</v>
      </c>
      <c r="B390" s="8" t="s">
        <v>249</v>
      </c>
      <c r="C390" s="8" t="s">
        <v>1949</v>
      </c>
      <c r="D390" s="8" t="s">
        <v>1949</v>
      </c>
      <c r="E390" s="8" t="s">
        <v>1950</v>
      </c>
      <c r="F390" s="8" t="s">
        <v>158</v>
      </c>
      <c r="G390" s="8" t="s">
        <v>1951</v>
      </c>
      <c r="H390" s="8" t="s">
        <v>48</v>
      </c>
      <c r="I390" s="8" t="s">
        <v>48</v>
      </c>
      <c r="J390" s="8" t="s">
        <v>1952</v>
      </c>
      <c r="K390" s="8" t="s">
        <v>1953</v>
      </c>
      <c r="L390" s="8" t="s">
        <v>51</v>
      </c>
      <c r="M390" s="8" t="s">
        <v>104</v>
      </c>
      <c r="N390" s="8" t="s">
        <v>1954</v>
      </c>
    </row>
    <row r="391" spans="1:14" s="1" customFormat="1" x14ac:dyDescent="0.25">
      <c r="A391" s="8" t="s">
        <v>1920</v>
      </c>
      <c r="B391" s="8" t="s">
        <v>249</v>
      </c>
      <c r="C391" s="8" t="s">
        <v>1955</v>
      </c>
      <c r="D391" s="8" t="s">
        <v>1955</v>
      </c>
      <c r="E391" s="8"/>
      <c r="F391" s="8" t="s">
        <v>158</v>
      </c>
      <c r="G391" s="8" t="s">
        <v>1956</v>
      </c>
      <c r="H391" s="8" t="s">
        <v>48</v>
      </c>
      <c r="I391" s="8" t="s">
        <v>48</v>
      </c>
      <c r="J391" s="8" t="s">
        <v>1941</v>
      </c>
      <c r="K391" s="8" t="s">
        <v>1957</v>
      </c>
      <c r="L391" s="8" t="s">
        <v>51</v>
      </c>
      <c r="M391" s="8" t="s">
        <v>104</v>
      </c>
      <c r="N391" s="8" t="s">
        <v>1958</v>
      </c>
    </row>
    <row r="392" spans="1:14" s="1" customFormat="1" x14ac:dyDescent="0.25">
      <c r="A392" s="8" t="s">
        <v>1920</v>
      </c>
      <c r="B392" s="8" t="s">
        <v>249</v>
      </c>
      <c r="C392" s="8" t="s">
        <v>1959</v>
      </c>
      <c r="D392" s="8" t="s">
        <v>1959</v>
      </c>
      <c r="E392" s="8" t="s">
        <v>1960</v>
      </c>
      <c r="F392" s="8" t="s">
        <v>288</v>
      </c>
      <c r="G392" s="8" t="s">
        <v>1961</v>
      </c>
      <c r="H392" s="8" t="s">
        <v>48</v>
      </c>
      <c r="I392" s="8" t="s">
        <v>48</v>
      </c>
      <c r="J392" s="8" t="s">
        <v>1961</v>
      </c>
      <c r="K392" s="8" t="s">
        <v>1962</v>
      </c>
      <c r="L392" s="8" t="s">
        <v>51</v>
      </c>
      <c r="M392" s="8" t="s">
        <v>104</v>
      </c>
      <c r="N392" s="8" t="s">
        <v>1963</v>
      </c>
    </row>
    <row r="393" spans="1:14" s="1" customFormat="1" x14ac:dyDescent="0.25">
      <c r="A393" s="8" t="s">
        <v>1920</v>
      </c>
      <c r="B393" s="8" t="s">
        <v>249</v>
      </c>
      <c r="C393" s="8" t="s">
        <v>1964</v>
      </c>
      <c r="D393" s="8" t="s">
        <v>1964</v>
      </c>
      <c r="E393" s="8" t="s">
        <v>1965</v>
      </c>
      <c r="F393" s="8" t="s">
        <v>288</v>
      </c>
      <c r="G393" s="8" t="s">
        <v>1966</v>
      </c>
      <c r="H393" s="8" t="s">
        <v>1924</v>
      </c>
      <c r="I393" s="8" t="s">
        <v>1924</v>
      </c>
      <c r="J393" s="8" t="s">
        <v>1967</v>
      </c>
      <c r="K393" s="8" t="s">
        <v>1968</v>
      </c>
      <c r="L393" s="8" t="s">
        <v>51</v>
      </c>
      <c r="M393" s="8" t="s">
        <v>119</v>
      </c>
      <c r="N393" s="8" t="s">
        <v>1969</v>
      </c>
    </row>
    <row r="394" spans="1:14" s="1" customFormat="1" x14ac:dyDescent="0.25">
      <c r="A394" s="8" t="s">
        <v>1920</v>
      </c>
      <c r="B394" s="8" t="s">
        <v>249</v>
      </c>
      <c r="C394" s="8" t="s">
        <v>1970</v>
      </c>
      <c r="D394" s="8" t="s">
        <v>1971</v>
      </c>
      <c r="E394" s="8" t="s">
        <v>1972</v>
      </c>
      <c r="F394" s="8" t="s">
        <v>288</v>
      </c>
      <c r="G394" s="8" t="s">
        <v>1973</v>
      </c>
      <c r="H394" s="8" t="s">
        <v>48</v>
      </c>
      <c r="I394" s="8" t="s">
        <v>1973</v>
      </c>
      <c r="J394" s="8" t="s">
        <v>1973</v>
      </c>
      <c r="K394" s="8" t="s">
        <v>1968</v>
      </c>
      <c r="L394" s="8" t="s">
        <v>51</v>
      </c>
      <c r="M394" s="8" t="s">
        <v>154</v>
      </c>
      <c r="N394" s="8" t="s">
        <v>1974</v>
      </c>
    </row>
    <row r="395" spans="1:14" s="1" customFormat="1" x14ac:dyDescent="0.25">
      <c r="A395" s="8" t="s">
        <v>1920</v>
      </c>
      <c r="B395" s="8" t="s">
        <v>249</v>
      </c>
      <c r="C395" s="8" t="s">
        <v>1975</v>
      </c>
      <c r="D395" s="8" t="s">
        <v>1975</v>
      </c>
      <c r="E395" s="8" t="s">
        <v>1976</v>
      </c>
      <c r="F395" s="8" t="s">
        <v>288</v>
      </c>
      <c r="G395" s="8" t="s">
        <v>1977</v>
      </c>
      <c r="H395" s="8" t="s">
        <v>1924</v>
      </c>
      <c r="I395" s="8" t="s">
        <v>1924</v>
      </c>
      <c r="J395" s="8" t="s">
        <v>1924</v>
      </c>
      <c r="K395" s="8" t="s">
        <v>1978</v>
      </c>
      <c r="L395" s="8" t="s">
        <v>51</v>
      </c>
      <c r="M395" s="8" t="s">
        <v>119</v>
      </c>
      <c r="N395" s="8" t="s">
        <v>1979</v>
      </c>
    </row>
    <row r="396" spans="1:14" s="1" customFormat="1" x14ac:dyDescent="0.25">
      <c r="A396" s="8" t="s">
        <v>1920</v>
      </c>
      <c r="B396" s="8" t="s">
        <v>249</v>
      </c>
      <c r="C396" s="8" t="s">
        <v>1980</v>
      </c>
      <c r="D396" s="8" t="s">
        <v>1980</v>
      </c>
      <c r="E396" s="8" t="s">
        <v>1981</v>
      </c>
      <c r="F396" s="8" t="s">
        <v>288</v>
      </c>
      <c r="G396" s="8" t="s">
        <v>1982</v>
      </c>
      <c r="H396" s="8" t="s">
        <v>1924</v>
      </c>
      <c r="I396" s="8" t="s">
        <v>1924</v>
      </c>
      <c r="J396" s="8" t="s">
        <v>1924</v>
      </c>
      <c r="K396" s="8" t="s">
        <v>1983</v>
      </c>
      <c r="L396" s="8" t="s">
        <v>51</v>
      </c>
      <c r="M396" s="8" t="s">
        <v>119</v>
      </c>
      <c r="N396" s="8" t="s">
        <v>1984</v>
      </c>
    </row>
    <row r="397" spans="1:14" s="1" customFormat="1" x14ac:dyDescent="0.25">
      <c r="A397" s="8" t="s">
        <v>1920</v>
      </c>
      <c r="B397" s="8" t="s">
        <v>249</v>
      </c>
      <c r="C397" s="8" t="s">
        <v>1985</v>
      </c>
      <c r="D397" s="8" t="s">
        <v>1985</v>
      </c>
      <c r="E397" s="8" t="s">
        <v>1986</v>
      </c>
      <c r="F397" s="8" t="s">
        <v>288</v>
      </c>
      <c r="G397" s="8" t="s">
        <v>1987</v>
      </c>
      <c r="H397" s="8" t="s">
        <v>48</v>
      </c>
      <c r="I397" s="8" t="s">
        <v>1988</v>
      </c>
      <c r="J397" s="8" t="s">
        <v>1988</v>
      </c>
      <c r="K397" s="8" t="s">
        <v>1968</v>
      </c>
      <c r="L397" s="8" t="s">
        <v>51</v>
      </c>
      <c r="M397" s="8" t="s">
        <v>154</v>
      </c>
      <c r="N397" s="8" t="s">
        <v>1989</v>
      </c>
    </row>
    <row r="398" spans="1:14" s="1" customFormat="1" x14ac:dyDescent="0.25">
      <c r="A398" s="8" t="s">
        <v>1920</v>
      </c>
      <c r="B398" s="8" t="s">
        <v>249</v>
      </c>
      <c r="C398" s="8" t="s">
        <v>1990</v>
      </c>
      <c r="D398" s="8" t="s">
        <v>1990</v>
      </c>
      <c r="E398" s="8" t="s">
        <v>1991</v>
      </c>
      <c r="F398" s="8" t="s">
        <v>288</v>
      </c>
      <c r="G398" s="8" t="s">
        <v>1992</v>
      </c>
      <c r="H398" s="8" t="s">
        <v>48</v>
      </c>
      <c r="I398" s="8" t="s">
        <v>48</v>
      </c>
      <c r="J398" s="8" t="s">
        <v>1992</v>
      </c>
      <c r="K398" s="8" t="s">
        <v>1993</v>
      </c>
      <c r="L398" s="8" t="s">
        <v>51</v>
      </c>
      <c r="M398" s="8" t="s">
        <v>104</v>
      </c>
      <c r="N398" s="8" t="s">
        <v>1994</v>
      </c>
    </row>
    <row r="399" spans="1:14" s="1" customFormat="1" x14ac:dyDescent="0.25">
      <c r="A399" s="8" t="s">
        <v>1920</v>
      </c>
      <c r="B399" s="8" t="s">
        <v>249</v>
      </c>
      <c r="C399" s="8" t="s">
        <v>1995</v>
      </c>
      <c r="D399" s="8" t="s">
        <v>1995</v>
      </c>
      <c r="E399" s="8" t="s">
        <v>1996</v>
      </c>
      <c r="F399" s="8" t="s">
        <v>100</v>
      </c>
      <c r="G399" s="8" t="s">
        <v>1997</v>
      </c>
      <c r="H399" s="8" t="s">
        <v>48</v>
      </c>
      <c r="I399" s="8" t="s">
        <v>1973</v>
      </c>
      <c r="J399" s="8" t="s">
        <v>1997</v>
      </c>
      <c r="K399" s="8" t="s">
        <v>1998</v>
      </c>
      <c r="L399" s="8" t="s">
        <v>51</v>
      </c>
      <c r="M399" s="8" t="s">
        <v>104</v>
      </c>
      <c r="N399" s="8" t="s">
        <v>1999</v>
      </c>
    </row>
    <row r="400" spans="1:14" s="1" customFormat="1" x14ac:dyDescent="0.25">
      <c r="A400" s="8" t="s">
        <v>1920</v>
      </c>
      <c r="B400" s="8" t="s">
        <v>249</v>
      </c>
      <c r="C400" s="8" t="s">
        <v>2000</v>
      </c>
      <c r="D400" s="8" t="s">
        <v>2000</v>
      </c>
      <c r="E400" s="8" t="s">
        <v>2001</v>
      </c>
      <c r="F400" s="8" t="s">
        <v>100</v>
      </c>
      <c r="G400" s="8" t="s">
        <v>2002</v>
      </c>
      <c r="H400" s="8" t="s">
        <v>48</v>
      </c>
      <c r="I400" s="8" t="s">
        <v>1988</v>
      </c>
      <c r="J400" s="8" t="s">
        <v>2002</v>
      </c>
      <c r="K400" s="8" t="s">
        <v>2003</v>
      </c>
      <c r="L400" s="8" t="s">
        <v>51</v>
      </c>
      <c r="M400" s="8" t="s">
        <v>104</v>
      </c>
      <c r="N400" s="8" t="s">
        <v>2004</v>
      </c>
    </row>
    <row r="401" spans="1:19" s="1" customFormat="1" x14ac:dyDescent="0.25">
      <c r="A401" s="8" t="s">
        <v>1920</v>
      </c>
      <c r="B401" s="8" t="s">
        <v>249</v>
      </c>
      <c r="C401" s="8" t="s">
        <v>2005</v>
      </c>
      <c r="D401" s="8" t="s">
        <v>2005</v>
      </c>
      <c r="E401" s="8" t="s">
        <v>2006</v>
      </c>
      <c r="F401" s="8" t="s">
        <v>100</v>
      </c>
      <c r="G401" s="8" t="s">
        <v>2007</v>
      </c>
      <c r="H401" s="8" t="s">
        <v>48</v>
      </c>
      <c r="I401" s="8" t="s">
        <v>1930</v>
      </c>
      <c r="J401" s="8" t="s">
        <v>2007</v>
      </c>
      <c r="K401" s="8" t="s">
        <v>2008</v>
      </c>
      <c r="L401" s="8" t="s">
        <v>51</v>
      </c>
      <c r="M401" s="8" t="s">
        <v>104</v>
      </c>
      <c r="N401" s="8" t="s">
        <v>2009</v>
      </c>
    </row>
    <row r="402" spans="1:19" s="1" customFormat="1" x14ac:dyDescent="0.25">
      <c r="A402" s="8" t="s">
        <v>1920</v>
      </c>
      <c r="B402" s="8" t="s">
        <v>249</v>
      </c>
      <c r="C402" s="8" t="s">
        <v>2010</v>
      </c>
      <c r="D402" s="8" t="s">
        <v>2010</v>
      </c>
      <c r="E402" s="8" t="s">
        <v>2011</v>
      </c>
      <c r="F402" s="8" t="s">
        <v>187</v>
      </c>
      <c r="G402" s="8" t="s">
        <v>2012</v>
      </c>
      <c r="H402" s="8" t="s">
        <v>48</v>
      </c>
      <c r="I402" s="8" t="s">
        <v>1930</v>
      </c>
      <c r="J402" s="8" t="s">
        <v>1931</v>
      </c>
      <c r="K402" s="8" t="s">
        <v>190</v>
      </c>
      <c r="L402" s="8" t="s">
        <v>51</v>
      </c>
      <c r="M402" s="8" t="s">
        <v>119</v>
      </c>
      <c r="N402" s="8" t="s">
        <v>2013</v>
      </c>
    </row>
    <row r="403" spans="1:19" s="1" customFormat="1" x14ac:dyDescent="0.25">
      <c r="A403" s="8" t="s">
        <v>1920</v>
      </c>
      <c r="B403" s="8" t="s">
        <v>249</v>
      </c>
      <c r="C403" s="8" t="s">
        <v>2014</v>
      </c>
      <c r="D403" s="8" t="s">
        <v>2014</v>
      </c>
      <c r="E403" s="8" t="s">
        <v>2015</v>
      </c>
      <c r="F403" s="8" t="s">
        <v>187</v>
      </c>
      <c r="G403" s="8" t="s">
        <v>2016</v>
      </c>
      <c r="H403" s="8" t="s">
        <v>48</v>
      </c>
      <c r="I403" s="8" t="s">
        <v>2016</v>
      </c>
      <c r="J403" s="8" t="s">
        <v>2016</v>
      </c>
      <c r="K403" s="8" t="s">
        <v>190</v>
      </c>
      <c r="L403" s="8" t="s">
        <v>51</v>
      </c>
      <c r="M403" s="8" t="s">
        <v>119</v>
      </c>
      <c r="N403" s="8" t="s">
        <v>2017</v>
      </c>
    </row>
    <row r="404" spans="1:19" x14ac:dyDescent="0.25">
      <c r="A404" s="8" t="s">
        <v>1920</v>
      </c>
      <c r="B404" s="8" t="s">
        <v>249</v>
      </c>
      <c r="C404" s="8" t="s">
        <v>2018</v>
      </c>
      <c r="D404" s="8" t="s">
        <v>2018</v>
      </c>
      <c r="E404" s="8"/>
      <c r="F404" s="8" t="s">
        <v>187</v>
      </c>
      <c r="G404" s="8" t="s">
        <v>2019</v>
      </c>
      <c r="H404" s="8" t="s">
        <v>48</v>
      </c>
      <c r="I404" s="8" t="s">
        <v>1930</v>
      </c>
      <c r="J404" s="8" t="s">
        <v>1931</v>
      </c>
      <c r="K404" s="8" t="s">
        <v>190</v>
      </c>
      <c r="L404" s="8" t="s">
        <v>349</v>
      </c>
      <c r="M404" s="8" t="s">
        <v>149</v>
      </c>
      <c r="N404" s="8"/>
    </row>
    <row r="412" spans="1:19" ht="15.75" x14ac:dyDescent="0.25">
      <c r="R412" s="43"/>
      <c r="S412" s="43"/>
    </row>
    <row r="413" spans="1:19" ht="18.75" x14ac:dyDescent="0.3">
      <c r="O413" s="29"/>
      <c r="P413" s="29"/>
      <c r="Q413" s="24"/>
    </row>
    <row r="414" spans="1:19" ht="18.75" x14ac:dyDescent="0.3">
      <c r="A414" s="48" t="s">
        <v>2020</v>
      </c>
      <c r="B414" s="48"/>
      <c r="C414" s="48"/>
      <c r="D414" s="48"/>
      <c r="E414" s="48"/>
      <c r="F414" s="48"/>
      <c r="G414" s="48"/>
      <c r="H414" s="48"/>
      <c r="I414" s="48"/>
      <c r="J414" s="29"/>
      <c r="K414" s="29"/>
      <c r="L414" s="29"/>
      <c r="M414" s="29"/>
      <c r="N414" s="29"/>
    </row>
    <row r="415" spans="1:19" hidden="1" x14ac:dyDescent="0.25"/>
    <row r="416" spans="1:19" hidden="1" x14ac:dyDescent="0.25">
      <c r="R416" s="47"/>
      <c r="S416" s="47"/>
    </row>
    <row r="417" spans="1:19" ht="14.25" hidden="1" customHeight="1" x14ac:dyDescent="0.25">
      <c r="J417" s="45"/>
      <c r="K417" s="27"/>
      <c r="L417" s="27"/>
      <c r="M417" s="27"/>
      <c r="N417" s="27"/>
      <c r="R417" s="47"/>
      <c r="S417" s="47"/>
    </row>
    <row r="418" spans="1:19" ht="14.25" customHeight="1" x14ac:dyDescent="0.25">
      <c r="J418" s="45"/>
      <c r="K418" s="27"/>
      <c r="L418" s="27"/>
      <c r="M418" s="27"/>
      <c r="N418" s="27"/>
      <c r="R418" s="21"/>
      <c r="S418" s="21"/>
    </row>
    <row r="419" spans="1:19" ht="14.25" customHeight="1" x14ac:dyDescent="0.25">
      <c r="A419" s="12"/>
    </row>
    <row r="420" spans="1:19" ht="37.5" customHeight="1" x14ac:dyDescent="0.25">
      <c r="A420" s="44" t="s">
        <v>16</v>
      </c>
      <c r="B420" s="44" t="s">
        <v>2021</v>
      </c>
      <c r="C420" s="44" t="s">
        <v>19</v>
      </c>
      <c r="D420" s="44" t="s">
        <v>2022</v>
      </c>
      <c r="E420" s="44" t="s">
        <v>22</v>
      </c>
      <c r="F420" s="46" t="s">
        <v>23</v>
      </c>
      <c r="G420" s="46"/>
      <c r="H420" s="46"/>
      <c r="I420" s="44" t="s">
        <v>2023</v>
      </c>
    </row>
    <row r="421" spans="1:19" hidden="1" x14ac:dyDescent="0.25">
      <c r="A421" s="44"/>
      <c r="B421" s="44"/>
      <c r="C421" s="44"/>
      <c r="D421" s="44"/>
      <c r="E421" s="44"/>
      <c r="F421" s="10" t="s">
        <v>28</v>
      </c>
      <c r="G421" s="10" t="s">
        <v>29</v>
      </c>
      <c r="H421" s="10" t="s">
        <v>30</v>
      </c>
      <c r="I421" s="44"/>
    </row>
    <row r="422" spans="1:19" x14ac:dyDescent="0.25">
      <c r="A422" t="s">
        <v>31</v>
      </c>
      <c r="B422" t="s">
        <v>2024</v>
      </c>
      <c r="C422" t="s">
        <v>34</v>
      </c>
      <c r="D422" t="s">
        <v>2025</v>
      </c>
      <c r="E422" t="s">
        <v>37</v>
      </c>
      <c r="F422" t="s">
        <v>38</v>
      </c>
      <c r="G422" t="s">
        <v>29</v>
      </c>
      <c r="H422" t="s">
        <v>30</v>
      </c>
      <c r="I422" t="s">
        <v>2026</v>
      </c>
      <c r="P422" s="22"/>
      <c r="Q422" s="22"/>
      <c r="R422" s="22"/>
    </row>
    <row r="423" spans="1:19" ht="51.75" x14ac:dyDescent="0.25">
      <c r="A423" s="8" t="s">
        <v>1920</v>
      </c>
      <c r="B423" s="8"/>
      <c r="C423" s="8" t="s">
        <v>2027</v>
      </c>
      <c r="D423" s="8" t="s">
        <v>144</v>
      </c>
      <c r="E423" s="8" t="s">
        <v>2028</v>
      </c>
      <c r="F423" s="8" t="s">
        <v>1924</v>
      </c>
      <c r="G423" s="8" t="s">
        <v>1924</v>
      </c>
      <c r="H423" s="8" t="s">
        <v>1924</v>
      </c>
      <c r="I423" s="13" t="s">
        <v>2029</v>
      </c>
      <c r="P423" s="22"/>
      <c r="Q423" s="22"/>
      <c r="R423" s="22"/>
    </row>
    <row r="424" spans="1:19" ht="51.75" x14ac:dyDescent="0.25">
      <c r="A424" s="8" t="s">
        <v>1920</v>
      </c>
      <c r="B424" s="8"/>
      <c r="C424" s="8" t="s">
        <v>2030</v>
      </c>
      <c r="D424" s="8" t="s">
        <v>158</v>
      </c>
      <c r="E424" s="8" t="s">
        <v>2031</v>
      </c>
      <c r="F424" s="8" t="s">
        <v>1924</v>
      </c>
      <c r="G424" s="8" t="s">
        <v>1924</v>
      </c>
      <c r="H424" s="8" t="s">
        <v>1924</v>
      </c>
      <c r="I424" s="13" t="s">
        <v>2029</v>
      </c>
      <c r="P424" s="22"/>
      <c r="Q424" s="22"/>
      <c r="R424" s="22"/>
    </row>
    <row r="425" spans="1:19" ht="115.5" x14ac:dyDescent="0.25">
      <c r="A425" s="8" t="s">
        <v>1920</v>
      </c>
      <c r="B425" s="8"/>
      <c r="C425" s="8" t="s">
        <v>2032</v>
      </c>
      <c r="D425" s="8" t="s">
        <v>158</v>
      </c>
      <c r="E425" s="8" t="s">
        <v>1952</v>
      </c>
      <c r="F425" s="8" t="s">
        <v>48</v>
      </c>
      <c r="G425" s="8" t="s">
        <v>48</v>
      </c>
      <c r="H425" s="8" t="s">
        <v>1952</v>
      </c>
      <c r="I425" s="13" t="s">
        <v>2033</v>
      </c>
      <c r="P425" s="22"/>
      <c r="Q425" s="22"/>
      <c r="R425" s="22"/>
    </row>
    <row r="426" spans="1:19" ht="64.5" x14ac:dyDescent="0.25">
      <c r="A426" s="8" t="s">
        <v>1828</v>
      </c>
      <c r="B426" s="8"/>
      <c r="C426" s="8" t="s">
        <v>2034</v>
      </c>
      <c r="D426" s="8" t="s">
        <v>144</v>
      </c>
      <c r="E426" s="8" t="s">
        <v>2035</v>
      </c>
      <c r="F426" s="8" t="s">
        <v>48</v>
      </c>
      <c r="G426" s="8" t="s">
        <v>48</v>
      </c>
      <c r="H426" s="8" t="s">
        <v>2036</v>
      </c>
      <c r="I426" s="13" t="s">
        <v>2037</v>
      </c>
      <c r="P426" s="23"/>
      <c r="Q426" s="23"/>
      <c r="R426" s="23"/>
    </row>
    <row r="427" spans="1:19" ht="64.5" x14ac:dyDescent="0.25">
      <c r="A427" s="8" t="s">
        <v>1828</v>
      </c>
      <c r="B427" s="8"/>
      <c r="C427" s="8" t="s">
        <v>2038</v>
      </c>
      <c r="D427" s="8" t="s">
        <v>158</v>
      </c>
      <c r="E427" s="8" t="s">
        <v>2039</v>
      </c>
      <c r="F427" s="8" t="s">
        <v>48</v>
      </c>
      <c r="G427" s="8" t="s">
        <v>48</v>
      </c>
      <c r="H427" s="8" t="s">
        <v>2036</v>
      </c>
      <c r="I427" s="13" t="s">
        <v>2037</v>
      </c>
    </row>
    <row r="428" spans="1:19" ht="115.5" x14ac:dyDescent="0.25">
      <c r="A428" s="8" t="s">
        <v>248</v>
      </c>
      <c r="B428" s="8"/>
      <c r="C428" s="8" t="s">
        <v>2040</v>
      </c>
      <c r="D428" s="8" t="s">
        <v>158</v>
      </c>
      <c r="E428" s="8" t="s">
        <v>2041</v>
      </c>
      <c r="F428" s="8" t="s">
        <v>254</v>
      </c>
      <c r="G428" s="8" t="s">
        <v>254</v>
      </c>
      <c r="H428" s="8" t="s">
        <v>294</v>
      </c>
      <c r="I428" s="13" t="s">
        <v>2042</v>
      </c>
    </row>
    <row r="429" spans="1:19" ht="77.25" x14ac:dyDescent="0.25">
      <c r="A429" s="8" t="s">
        <v>1357</v>
      </c>
      <c r="B429" s="8"/>
      <c r="C429" s="8" t="s">
        <v>2043</v>
      </c>
      <c r="D429" s="8" t="s">
        <v>158</v>
      </c>
      <c r="E429" s="8" t="s">
        <v>2044</v>
      </c>
      <c r="F429" s="8" t="s">
        <v>67</v>
      </c>
      <c r="G429" s="8" t="s">
        <v>67</v>
      </c>
      <c r="H429" s="8" t="s">
        <v>68</v>
      </c>
      <c r="I429" s="13" t="s">
        <v>2045</v>
      </c>
    </row>
    <row r="430" spans="1:19" ht="77.25" x14ac:dyDescent="0.25">
      <c r="A430" s="8" t="s">
        <v>1357</v>
      </c>
      <c r="B430" s="8"/>
      <c r="C430" s="8" t="s">
        <v>2046</v>
      </c>
      <c r="D430" s="8" t="s">
        <v>158</v>
      </c>
      <c r="E430" s="8" t="s">
        <v>2047</v>
      </c>
      <c r="F430" s="8" t="s">
        <v>67</v>
      </c>
      <c r="G430" s="8" t="s">
        <v>1381</v>
      </c>
      <c r="H430" s="8" t="s">
        <v>1381</v>
      </c>
      <c r="I430" s="13" t="s">
        <v>2048</v>
      </c>
    </row>
    <row r="431" spans="1:19" ht="102.75" x14ac:dyDescent="0.25">
      <c r="A431" s="8" t="s">
        <v>1357</v>
      </c>
      <c r="B431" s="8"/>
      <c r="C431" s="8" t="s">
        <v>2049</v>
      </c>
      <c r="D431" s="8" t="s">
        <v>158</v>
      </c>
      <c r="E431" s="8" t="s">
        <v>2050</v>
      </c>
      <c r="F431" s="8" t="s">
        <v>67</v>
      </c>
      <c r="G431" s="8" t="s">
        <v>67</v>
      </c>
      <c r="H431" s="8" t="s">
        <v>68</v>
      </c>
      <c r="I431" s="13" t="s">
        <v>2051</v>
      </c>
    </row>
  </sheetData>
  <sheetProtection sheet="1" objects="1" scenarios="1"/>
  <mergeCells count="28">
    <mergeCell ref="C5:M5"/>
    <mergeCell ref="C6:M6"/>
    <mergeCell ref="A10:A11"/>
    <mergeCell ref="B10:B11"/>
    <mergeCell ref="C10:C11"/>
    <mergeCell ref="D10:D11"/>
    <mergeCell ref="E10:E11"/>
    <mergeCell ref="F10:F11"/>
    <mergeCell ref="G10:G11"/>
    <mergeCell ref="U10:U11"/>
    <mergeCell ref="V10:V11"/>
    <mergeCell ref="H10:J10"/>
    <mergeCell ref="S10:S11"/>
    <mergeCell ref="N10:N11"/>
    <mergeCell ref="L10:L11"/>
    <mergeCell ref="M10:M11"/>
    <mergeCell ref="R412:S412"/>
    <mergeCell ref="A420:A421"/>
    <mergeCell ref="I420:I421"/>
    <mergeCell ref="E420:E421"/>
    <mergeCell ref="B420:B421"/>
    <mergeCell ref="C420:C421"/>
    <mergeCell ref="D420:D421"/>
    <mergeCell ref="J417:J418"/>
    <mergeCell ref="F420:H420"/>
    <mergeCell ref="R416:R417"/>
    <mergeCell ref="S416:S417"/>
    <mergeCell ref="A414:I414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P456"/>
  <sheetViews>
    <sheetView showGridLines="0" zoomScale="90" zoomScaleNormal="90" workbookViewId="0">
      <selection activeCell="E19" sqref="E19"/>
    </sheetView>
  </sheetViews>
  <sheetFormatPr baseColWidth="10" defaultColWidth="11.5703125" defaultRowHeight="15" x14ac:dyDescent="0.25"/>
  <cols>
    <col min="1" max="1" width="11.5703125" style="1"/>
    <col min="2" max="2" width="4.7109375" style="1" customWidth="1"/>
    <col min="3" max="3" width="9.7109375" style="1" customWidth="1"/>
    <col min="4" max="4" width="74.7109375" style="1" customWidth="1"/>
    <col min="5" max="5" width="13.140625" style="1" customWidth="1"/>
    <col min="6" max="16384" width="11.5703125" style="1"/>
  </cols>
  <sheetData>
    <row r="1" spans="1:16" ht="51" customHeight="1" x14ac:dyDescent="0.25"/>
    <row r="2" spans="1:16" x14ac:dyDescent="0.25">
      <c r="A2" s="2" t="s">
        <v>11</v>
      </c>
    </row>
    <row r="3" spans="1:16" x14ac:dyDescent="0.25">
      <c r="A3" s="3" t="s">
        <v>12</v>
      </c>
    </row>
    <row r="4" spans="1:16" x14ac:dyDescent="0.25">
      <c r="A4" s="2" t="s">
        <v>14</v>
      </c>
    </row>
    <row r="5" spans="1:16" ht="12" customHeight="1" x14ac:dyDescent="0.25">
      <c r="B5" s="4"/>
    </row>
    <row r="6" spans="1:16" ht="18.600000000000001" customHeight="1" x14ac:dyDescent="0.3">
      <c r="B6" s="32"/>
      <c r="C6" s="53" t="s">
        <v>2052</v>
      </c>
      <c r="D6" s="53"/>
      <c r="E6" s="53"/>
      <c r="F6" s="32"/>
      <c r="G6" s="32"/>
      <c r="H6" s="32"/>
      <c r="I6" s="32"/>
      <c r="J6" s="32"/>
      <c r="K6" s="32"/>
      <c r="L6" s="32"/>
      <c r="M6" s="11"/>
      <c r="N6" s="11"/>
      <c r="O6" s="11"/>
      <c r="P6" s="11"/>
    </row>
    <row r="7" spans="1:16" ht="18.75" x14ac:dyDescent="0.3">
      <c r="B7" s="31"/>
      <c r="C7" s="54" t="s">
        <v>15</v>
      </c>
      <c r="D7" s="54"/>
      <c r="E7" s="54"/>
      <c r="F7" s="31"/>
      <c r="G7" s="31"/>
      <c r="H7" s="31"/>
      <c r="I7" s="31"/>
      <c r="J7" s="31"/>
      <c r="K7" s="31"/>
      <c r="L7" s="31"/>
      <c r="M7" s="11"/>
      <c r="N7" s="11"/>
    </row>
    <row r="11" spans="1:16" ht="31.5" customHeight="1" x14ac:dyDescent="0.25">
      <c r="C11" s="7" t="s">
        <v>2025</v>
      </c>
      <c r="D11" s="7" t="s">
        <v>22</v>
      </c>
      <c r="E11" s="7" t="s">
        <v>23</v>
      </c>
      <c r="G11" s="15"/>
      <c r="J11" s="15"/>
      <c r="K11" s="15"/>
      <c r="L11" s="15"/>
      <c r="M11" s="15"/>
      <c r="N11" s="15"/>
      <c r="O11" s="15"/>
    </row>
    <row r="12" spans="1:16" hidden="1" x14ac:dyDescent="0.25"/>
    <row r="13" spans="1:16" hidden="1" x14ac:dyDescent="0.25"/>
    <row r="14" spans="1:16" x14ac:dyDescent="0.25">
      <c r="C14" s="25" t="s">
        <v>2053</v>
      </c>
      <c r="D14" s="25"/>
      <c r="E14" s="25">
        <f>COUNTA(C16:C31)</f>
        <v>10</v>
      </c>
    </row>
    <row r="15" spans="1:16" hidden="1" x14ac:dyDescent="0.25">
      <c r="C15" t="s">
        <v>36</v>
      </c>
      <c r="D15" t="s">
        <v>37</v>
      </c>
      <c r="E15" t="s">
        <v>38</v>
      </c>
    </row>
    <row r="16" spans="1:16" x14ac:dyDescent="0.25">
      <c r="C16" s="1" t="s">
        <v>54</v>
      </c>
      <c r="D16" s="1" t="s">
        <v>58</v>
      </c>
      <c r="E16" s="1" t="s">
        <v>48</v>
      </c>
    </row>
    <row r="17" spans="3:9" x14ac:dyDescent="0.25">
      <c r="C17" s="1" t="s">
        <v>62</v>
      </c>
      <c r="D17" s="1" t="s">
        <v>66</v>
      </c>
      <c r="E17" s="1" t="s">
        <v>67</v>
      </c>
    </row>
    <row r="18" spans="3:9" x14ac:dyDescent="0.25">
      <c r="C18" s="1" t="s">
        <v>252</v>
      </c>
      <c r="D18" s="1" t="s">
        <v>253</v>
      </c>
      <c r="E18" s="1" t="s">
        <v>254</v>
      </c>
    </row>
    <row r="19" spans="3:9" ht="15.75" x14ac:dyDescent="0.25">
      <c r="C19" s="1" t="s">
        <v>252</v>
      </c>
      <c r="D19" s="1" t="s">
        <v>492</v>
      </c>
      <c r="E19" s="1" t="s">
        <v>493</v>
      </c>
      <c r="I19" s="18">
        <f>E14</f>
        <v>10</v>
      </c>
    </row>
    <row r="20" spans="3:9" ht="15.75" x14ac:dyDescent="0.25">
      <c r="C20" s="1" t="s">
        <v>252</v>
      </c>
      <c r="D20" s="1" t="s">
        <v>896</v>
      </c>
      <c r="E20" s="1" t="s">
        <v>897</v>
      </c>
      <c r="I20" s="18"/>
    </row>
    <row r="21" spans="3:9" ht="15.75" x14ac:dyDescent="0.25">
      <c r="C21" s="1" t="s">
        <v>252</v>
      </c>
      <c r="D21" s="1" t="s">
        <v>1010</v>
      </c>
      <c r="E21" s="1" t="s">
        <v>465</v>
      </c>
      <c r="I21" s="18"/>
    </row>
    <row r="22" spans="3:9" ht="15.75" x14ac:dyDescent="0.25">
      <c r="C22" s="1" t="s">
        <v>252</v>
      </c>
      <c r="D22" s="1" t="s">
        <v>1715</v>
      </c>
      <c r="E22" s="1" t="s">
        <v>1716</v>
      </c>
      <c r="I22" s="19"/>
    </row>
    <row r="23" spans="3:9" ht="15.75" x14ac:dyDescent="0.25">
      <c r="C23" s="1" t="s">
        <v>252</v>
      </c>
      <c r="D23" s="1" t="s">
        <v>1616</v>
      </c>
      <c r="E23" s="1" t="s">
        <v>48</v>
      </c>
      <c r="I23" s="18">
        <f>E32</f>
        <v>84</v>
      </c>
    </row>
    <row r="24" spans="3:9" ht="15.75" x14ac:dyDescent="0.25">
      <c r="C24" s="1" t="s">
        <v>252</v>
      </c>
      <c r="D24" s="1" t="s">
        <v>1831</v>
      </c>
      <c r="E24" s="1" t="s">
        <v>48</v>
      </c>
      <c r="I24" s="18"/>
    </row>
    <row r="25" spans="3:9" ht="15.75" x14ac:dyDescent="0.25">
      <c r="C25" s="1" t="s">
        <v>252</v>
      </c>
      <c r="D25" s="1" t="s">
        <v>1923</v>
      </c>
      <c r="E25" s="1" t="s">
        <v>1924</v>
      </c>
      <c r="I25" s="19"/>
    </row>
    <row r="26" spans="3:9" ht="15.75" hidden="1" x14ac:dyDescent="0.25">
      <c r="I26" s="18"/>
    </row>
    <row r="27" spans="3:9" ht="15.75" hidden="1" x14ac:dyDescent="0.25">
      <c r="I27" s="18"/>
    </row>
    <row r="28" spans="3:9" ht="15.75" hidden="1" x14ac:dyDescent="0.25">
      <c r="I28" s="18"/>
    </row>
    <row r="29" spans="3:9" ht="15.75" hidden="1" x14ac:dyDescent="0.25">
      <c r="I29" s="18"/>
    </row>
    <row r="30" spans="3:9" ht="15.75" hidden="1" x14ac:dyDescent="0.25">
      <c r="I30" s="18"/>
    </row>
    <row r="31" spans="3:9" ht="15.75" hidden="1" x14ac:dyDescent="0.25">
      <c r="I31" s="18"/>
    </row>
    <row r="32" spans="3:9" ht="15.75" x14ac:dyDescent="0.25">
      <c r="C32" s="25" t="s">
        <v>2054</v>
      </c>
      <c r="D32" s="25"/>
      <c r="E32" s="25">
        <f>+COUNTA(Tabla_Consulta_desde_pentahodev_110[TIPO_2])</f>
        <v>84</v>
      </c>
      <c r="I32" s="18"/>
    </row>
    <row r="33" spans="3:9" ht="15.75" hidden="1" x14ac:dyDescent="0.25">
      <c r="C33" t="s">
        <v>36</v>
      </c>
      <c r="D33" t="s">
        <v>37</v>
      </c>
      <c r="E33" t="s">
        <v>38</v>
      </c>
      <c r="I33" s="19"/>
    </row>
    <row r="34" spans="3:9" ht="15.75" x14ac:dyDescent="0.25">
      <c r="C34" s="1" t="s">
        <v>42</v>
      </c>
      <c r="D34" s="1" t="s">
        <v>47</v>
      </c>
      <c r="E34" s="1" t="s">
        <v>48</v>
      </c>
      <c r="I34" s="18">
        <f>E125</f>
        <v>298</v>
      </c>
    </row>
    <row r="35" spans="3:9" ht="15.75" x14ac:dyDescent="0.25">
      <c r="C35" s="1" t="s">
        <v>725</v>
      </c>
      <c r="D35" s="1" t="s">
        <v>726</v>
      </c>
      <c r="E35" s="1" t="s">
        <v>727</v>
      </c>
      <c r="I35" s="20"/>
    </row>
    <row r="36" spans="3:9" x14ac:dyDescent="0.25">
      <c r="C36" s="1" t="s">
        <v>725</v>
      </c>
      <c r="D36" s="1" t="s">
        <v>1017</v>
      </c>
      <c r="E36" s="1" t="s">
        <v>465</v>
      </c>
    </row>
    <row r="37" spans="3:9" x14ac:dyDescent="0.25">
      <c r="C37" s="1" t="s">
        <v>144</v>
      </c>
      <c r="D37" s="1" t="s">
        <v>145</v>
      </c>
      <c r="E37" s="1" t="s">
        <v>146</v>
      </c>
      <c r="H37" s="16" t="s">
        <v>2055</v>
      </c>
      <c r="I37" s="17">
        <f>+E14+E32+E125</f>
        <v>392</v>
      </c>
    </row>
    <row r="38" spans="3:9" x14ac:dyDescent="0.25">
      <c r="C38" s="1" t="s">
        <v>144</v>
      </c>
      <c r="D38" s="1" t="s">
        <v>260</v>
      </c>
      <c r="E38" s="1" t="s">
        <v>254</v>
      </c>
    </row>
    <row r="39" spans="3:9" x14ac:dyDescent="0.25">
      <c r="C39" s="1" t="s">
        <v>144</v>
      </c>
      <c r="D39" s="1" t="s">
        <v>833</v>
      </c>
      <c r="E39" s="1" t="s">
        <v>834</v>
      </c>
    </row>
    <row r="40" spans="3:9" x14ac:dyDescent="0.25">
      <c r="C40" s="1" t="s">
        <v>144</v>
      </c>
      <c r="D40" s="1" t="s">
        <v>1182</v>
      </c>
      <c r="E40" s="1" t="s">
        <v>1183</v>
      </c>
    </row>
    <row r="41" spans="3:9" x14ac:dyDescent="0.25">
      <c r="C41" s="1" t="s">
        <v>144</v>
      </c>
      <c r="D41" s="1" t="s">
        <v>1360</v>
      </c>
      <c r="E41" s="1" t="s">
        <v>67</v>
      </c>
    </row>
    <row r="42" spans="3:9" x14ac:dyDescent="0.25">
      <c r="C42" s="1" t="s">
        <v>144</v>
      </c>
      <c r="D42" s="1" t="s">
        <v>834</v>
      </c>
      <c r="E42" s="1" t="s">
        <v>834</v>
      </c>
    </row>
    <row r="43" spans="3:9" x14ac:dyDescent="0.25">
      <c r="C43" s="1" t="s">
        <v>144</v>
      </c>
      <c r="D43" s="1" t="s">
        <v>1496</v>
      </c>
      <c r="E43" s="1" t="s">
        <v>1497</v>
      </c>
    </row>
    <row r="44" spans="3:9" x14ac:dyDescent="0.25">
      <c r="C44" s="1" t="s">
        <v>144</v>
      </c>
      <c r="D44" s="1" t="s">
        <v>1623</v>
      </c>
      <c r="E44" s="1" t="s">
        <v>48</v>
      </c>
    </row>
    <row r="45" spans="3:9" x14ac:dyDescent="0.25">
      <c r="C45" s="1" t="s">
        <v>144</v>
      </c>
      <c r="D45" s="1" t="s">
        <v>1835</v>
      </c>
      <c r="E45" s="1" t="s">
        <v>48</v>
      </c>
    </row>
    <row r="46" spans="3:9" x14ac:dyDescent="0.25">
      <c r="C46" s="1" t="s">
        <v>206</v>
      </c>
      <c r="D46" s="1" t="s">
        <v>207</v>
      </c>
      <c r="E46" s="1" t="s">
        <v>208</v>
      </c>
    </row>
    <row r="47" spans="3:9" x14ac:dyDescent="0.25">
      <c r="C47" s="1" t="s">
        <v>206</v>
      </c>
      <c r="D47" s="1" t="s">
        <v>265</v>
      </c>
      <c r="E47" s="1" t="s">
        <v>254</v>
      </c>
    </row>
    <row r="48" spans="3:9" x14ac:dyDescent="0.25">
      <c r="C48" s="1" t="s">
        <v>206</v>
      </c>
      <c r="D48" s="1" t="s">
        <v>394</v>
      </c>
      <c r="E48" s="1" t="s">
        <v>395</v>
      </c>
    </row>
    <row r="49" spans="3:5" x14ac:dyDescent="0.25">
      <c r="C49" s="1" t="s">
        <v>206</v>
      </c>
      <c r="D49" s="1" t="s">
        <v>442</v>
      </c>
      <c r="E49" s="1" t="s">
        <v>442</v>
      </c>
    </row>
    <row r="50" spans="3:5" x14ac:dyDescent="0.25">
      <c r="C50" s="1" t="s">
        <v>206</v>
      </c>
      <c r="D50" s="1" t="s">
        <v>585</v>
      </c>
      <c r="E50" s="1" t="s">
        <v>585</v>
      </c>
    </row>
    <row r="51" spans="3:5" x14ac:dyDescent="0.25">
      <c r="C51" s="1" t="s">
        <v>206</v>
      </c>
      <c r="D51" s="1" t="s">
        <v>620</v>
      </c>
      <c r="E51" s="1" t="s">
        <v>620</v>
      </c>
    </row>
    <row r="52" spans="3:5" x14ac:dyDescent="0.25">
      <c r="C52" s="1" t="s">
        <v>206</v>
      </c>
      <c r="D52" s="1" t="s">
        <v>690</v>
      </c>
      <c r="E52" s="1" t="s">
        <v>146</v>
      </c>
    </row>
    <row r="53" spans="3:5" x14ac:dyDescent="0.25">
      <c r="C53" s="1" t="s">
        <v>206</v>
      </c>
      <c r="D53" s="1" t="s">
        <v>732</v>
      </c>
      <c r="E53" s="1" t="s">
        <v>727</v>
      </c>
    </row>
    <row r="54" spans="3:5" x14ac:dyDescent="0.25">
      <c r="C54" s="1" t="s">
        <v>206</v>
      </c>
      <c r="D54" s="1" t="s">
        <v>818</v>
      </c>
      <c r="E54" s="1" t="s">
        <v>442</v>
      </c>
    </row>
    <row r="55" spans="3:5" x14ac:dyDescent="0.25">
      <c r="C55" s="1" t="s">
        <v>206</v>
      </c>
      <c r="D55" s="1" t="s">
        <v>904</v>
      </c>
      <c r="E55" s="1" t="s">
        <v>897</v>
      </c>
    </row>
    <row r="56" spans="3:5" x14ac:dyDescent="0.25">
      <c r="C56" s="1" t="s">
        <v>206</v>
      </c>
      <c r="D56" s="1" t="s">
        <v>1022</v>
      </c>
      <c r="E56" s="1" t="s">
        <v>465</v>
      </c>
    </row>
    <row r="57" spans="3:5" x14ac:dyDescent="0.25">
      <c r="C57" s="1" t="s">
        <v>206</v>
      </c>
      <c r="D57" s="1" t="s">
        <v>1721</v>
      </c>
      <c r="E57" s="1" t="s">
        <v>1716</v>
      </c>
    </row>
    <row r="58" spans="3:5" x14ac:dyDescent="0.25">
      <c r="C58" s="1" t="s">
        <v>206</v>
      </c>
      <c r="D58" s="1" t="s">
        <v>1726</v>
      </c>
      <c r="E58" s="1" t="s">
        <v>1716</v>
      </c>
    </row>
    <row r="59" spans="3:5" x14ac:dyDescent="0.25">
      <c r="C59" s="1" t="s">
        <v>206</v>
      </c>
      <c r="D59" s="1" t="s">
        <v>1250</v>
      </c>
      <c r="E59" s="1" t="s">
        <v>1251</v>
      </c>
    </row>
    <row r="60" spans="3:5" x14ac:dyDescent="0.25">
      <c r="C60" s="1" t="s">
        <v>206</v>
      </c>
      <c r="D60" s="1" t="s">
        <v>1251</v>
      </c>
      <c r="E60" s="1" t="s">
        <v>1251</v>
      </c>
    </row>
    <row r="61" spans="3:5" x14ac:dyDescent="0.25">
      <c r="C61" s="1" t="s">
        <v>206</v>
      </c>
      <c r="D61" s="1" t="s">
        <v>1296</v>
      </c>
      <c r="E61" s="1" t="s">
        <v>1297</v>
      </c>
    </row>
    <row r="62" spans="3:5" x14ac:dyDescent="0.25">
      <c r="C62" s="1" t="s">
        <v>206</v>
      </c>
      <c r="D62" s="1" t="s">
        <v>1364</v>
      </c>
      <c r="E62" s="1" t="s">
        <v>67</v>
      </c>
    </row>
    <row r="63" spans="3:5" x14ac:dyDescent="0.25">
      <c r="C63" s="1" t="s">
        <v>206</v>
      </c>
      <c r="D63" s="1" t="s">
        <v>1369</v>
      </c>
      <c r="E63" s="1" t="s">
        <v>67</v>
      </c>
    </row>
    <row r="64" spans="3:5" x14ac:dyDescent="0.25">
      <c r="C64" s="1" t="s">
        <v>206</v>
      </c>
      <c r="D64" s="1" t="s">
        <v>1536</v>
      </c>
      <c r="E64" s="1" t="s">
        <v>670</v>
      </c>
    </row>
    <row r="65" spans="3:5" x14ac:dyDescent="0.25">
      <c r="C65" s="1" t="s">
        <v>206</v>
      </c>
      <c r="D65" s="1" t="s">
        <v>1583</v>
      </c>
      <c r="E65" s="1" t="s">
        <v>1584</v>
      </c>
    </row>
    <row r="66" spans="3:5" x14ac:dyDescent="0.25">
      <c r="C66" s="1" t="s">
        <v>206</v>
      </c>
      <c r="D66" s="1" t="s">
        <v>1207</v>
      </c>
      <c r="E66" s="1" t="s">
        <v>48</v>
      </c>
    </row>
    <row r="67" spans="3:5" x14ac:dyDescent="0.25">
      <c r="C67" s="1" t="s">
        <v>206</v>
      </c>
      <c r="D67" s="1" t="s">
        <v>1631</v>
      </c>
      <c r="E67" s="1" t="s">
        <v>48</v>
      </c>
    </row>
    <row r="68" spans="3:5" x14ac:dyDescent="0.25">
      <c r="C68" s="1" t="s">
        <v>206</v>
      </c>
      <c r="D68" s="1" t="s">
        <v>1637</v>
      </c>
      <c r="E68" s="1" t="s">
        <v>48</v>
      </c>
    </row>
    <row r="69" spans="3:5" x14ac:dyDescent="0.25">
      <c r="C69" s="1" t="s">
        <v>206</v>
      </c>
      <c r="D69" s="1" t="s">
        <v>1840</v>
      </c>
      <c r="E69" s="1" t="s">
        <v>48</v>
      </c>
    </row>
    <row r="70" spans="3:5" x14ac:dyDescent="0.25">
      <c r="C70" s="1" t="s">
        <v>206</v>
      </c>
      <c r="D70" s="1" t="s">
        <v>1929</v>
      </c>
      <c r="E70" s="1" t="s">
        <v>48</v>
      </c>
    </row>
    <row r="71" spans="3:5" x14ac:dyDescent="0.25">
      <c r="C71" s="1" t="s">
        <v>206</v>
      </c>
      <c r="D71" s="1" t="s">
        <v>1935</v>
      </c>
      <c r="E71" s="1" t="s">
        <v>1924</v>
      </c>
    </row>
    <row r="72" spans="3:5" x14ac:dyDescent="0.25">
      <c r="C72" s="1" t="s">
        <v>76</v>
      </c>
      <c r="D72" s="1" t="s">
        <v>77</v>
      </c>
      <c r="E72" s="1" t="s">
        <v>78</v>
      </c>
    </row>
    <row r="73" spans="3:5" x14ac:dyDescent="0.25">
      <c r="C73" s="1" t="s">
        <v>76</v>
      </c>
      <c r="D73" s="1" t="s">
        <v>86</v>
      </c>
      <c r="E73" s="1" t="s">
        <v>78</v>
      </c>
    </row>
    <row r="74" spans="3:5" x14ac:dyDescent="0.25">
      <c r="C74" s="1" t="s">
        <v>76</v>
      </c>
      <c r="D74" s="1" t="s">
        <v>93</v>
      </c>
      <c r="E74" s="1" t="s">
        <v>78</v>
      </c>
    </row>
    <row r="75" spans="3:5" x14ac:dyDescent="0.25">
      <c r="C75" s="1" t="s">
        <v>76</v>
      </c>
      <c r="D75" s="1" t="s">
        <v>152</v>
      </c>
      <c r="E75" s="1" t="s">
        <v>146</v>
      </c>
    </row>
    <row r="76" spans="3:5" x14ac:dyDescent="0.25">
      <c r="C76" s="1" t="s">
        <v>76</v>
      </c>
      <c r="D76" s="1" t="s">
        <v>214</v>
      </c>
      <c r="E76" s="1" t="s">
        <v>208</v>
      </c>
    </row>
    <row r="77" spans="3:5" x14ac:dyDescent="0.25">
      <c r="C77" s="1" t="s">
        <v>76</v>
      </c>
      <c r="D77" s="1" t="s">
        <v>271</v>
      </c>
      <c r="E77" s="1" t="s">
        <v>254</v>
      </c>
    </row>
    <row r="78" spans="3:5" x14ac:dyDescent="0.25">
      <c r="C78" s="1" t="s">
        <v>76</v>
      </c>
      <c r="D78" s="1" t="s">
        <v>277</v>
      </c>
      <c r="E78" s="1" t="s">
        <v>254</v>
      </c>
    </row>
    <row r="79" spans="3:5" x14ac:dyDescent="0.25">
      <c r="C79" s="1" t="s">
        <v>76</v>
      </c>
      <c r="D79" s="1" t="s">
        <v>498</v>
      </c>
      <c r="E79" s="1" t="s">
        <v>493</v>
      </c>
    </row>
    <row r="80" spans="3:5" x14ac:dyDescent="0.25">
      <c r="C80" s="1" t="s">
        <v>76</v>
      </c>
      <c r="D80" s="1" t="s">
        <v>503</v>
      </c>
      <c r="E80" s="1" t="s">
        <v>493</v>
      </c>
    </row>
    <row r="81" spans="3:5" x14ac:dyDescent="0.25">
      <c r="C81" s="1" t="s">
        <v>76</v>
      </c>
      <c r="D81" s="1" t="s">
        <v>509</v>
      </c>
      <c r="E81" s="1" t="s">
        <v>493</v>
      </c>
    </row>
    <row r="82" spans="3:5" x14ac:dyDescent="0.25">
      <c r="C82" s="1" t="s">
        <v>76</v>
      </c>
      <c r="D82" s="1" t="s">
        <v>515</v>
      </c>
      <c r="E82" s="1" t="s">
        <v>493</v>
      </c>
    </row>
    <row r="83" spans="3:5" x14ac:dyDescent="0.25">
      <c r="C83" s="1" t="s">
        <v>76</v>
      </c>
      <c r="D83" s="1" t="s">
        <v>626</v>
      </c>
      <c r="E83" s="1" t="s">
        <v>620</v>
      </c>
    </row>
    <row r="84" spans="3:5" x14ac:dyDescent="0.25">
      <c r="C84" s="1" t="s">
        <v>76</v>
      </c>
      <c r="D84" s="1" t="s">
        <v>739</v>
      </c>
      <c r="E84" s="1" t="s">
        <v>727</v>
      </c>
    </row>
    <row r="85" spans="3:5" x14ac:dyDescent="0.25">
      <c r="C85" s="1" t="s">
        <v>76</v>
      </c>
      <c r="D85" s="1" t="s">
        <v>744</v>
      </c>
      <c r="E85" s="1" t="s">
        <v>727</v>
      </c>
    </row>
    <row r="86" spans="3:5" x14ac:dyDescent="0.25">
      <c r="C86" s="1" t="s">
        <v>76</v>
      </c>
      <c r="D86" s="1" t="s">
        <v>749</v>
      </c>
      <c r="E86" s="1" t="s">
        <v>727</v>
      </c>
    </row>
    <row r="87" spans="3:5" x14ac:dyDescent="0.25">
      <c r="C87" s="1" t="s">
        <v>76</v>
      </c>
      <c r="D87" s="1" t="s">
        <v>840</v>
      </c>
      <c r="E87" s="1" t="s">
        <v>834</v>
      </c>
    </row>
    <row r="88" spans="3:5" x14ac:dyDescent="0.25">
      <c r="C88" s="1" t="s">
        <v>76</v>
      </c>
      <c r="D88" s="1" t="s">
        <v>911</v>
      </c>
      <c r="E88" s="1" t="s">
        <v>897</v>
      </c>
    </row>
    <row r="89" spans="3:5" x14ac:dyDescent="0.25">
      <c r="C89" s="1" t="s">
        <v>76</v>
      </c>
      <c r="D89" s="1" t="s">
        <v>917</v>
      </c>
      <c r="E89" s="1" t="s">
        <v>897</v>
      </c>
    </row>
    <row r="90" spans="3:5" x14ac:dyDescent="0.25">
      <c r="C90" s="1" t="s">
        <v>76</v>
      </c>
      <c r="D90" s="1" t="s">
        <v>923</v>
      </c>
      <c r="E90" s="1" t="s">
        <v>897</v>
      </c>
    </row>
    <row r="91" spans="3:5" x14ac:dyDescent="0.25">
      <c r="C91" s="1" t="s">
        <v>76</v>
      </c>
      <c r="D91" s="1" t="s">
        <v>1027</v>
      </c>
      <c r="E91" s="1" t="s">
        <v>465</v>
      </c>
    </row>
    <row r="92" spans="3:5" x14ac:dyDescent="0.25">
      <c r="C92" s="1" t="s">
        <v>76</v>
      </c>
      <c r="D92" s="1" t="s">
        <v>1032</v>
      </c>
      <c r="E92" s="1" t="s">
        <v>465</v>
      </c>
    </row>
    <row r="93" spans="3:5" x14ac:dyDescent="0.25">
      <c r="C93" s="1" t="s">
        <v>76</v>
      </c>
      <c r="D93" s="1" t="s">
        <v>1012</v>
      </c>
      <c r="E93" s="1" t="s">
        <v>465</v>
      </c>
    </row>
    <row r="94" spans="3:5" x14ac:dyDescent="0.25">
      <c r="C94" s="1" t="s">
        <v>76</v>
      </c>
      <c r="D94" s="1" t="s">
        <v>1041</v>
      </c>
      <c r="E94" s="1" t="s">
        <v>465</v>
      </c>
    </row>
    <row r="95" spans="3:5" x14ac:dyDescent="0.25">
      <c r="C95" s="1" t="s">
        <v>76</v>
      </c>
      <c r="D95" s="1" t="s">
        <v>1046</v>
      </c>
      <c r="E95" s="1" t="s">
        <v>465</v>
      </c>
    </row>
    <row r="96" spans="3:5" x14ac:dyDescent="0.25">
      <c r="C96" s="1" t="s">
        <v>76</v>
      </c>
      <c r="D96" s="1" t="s">
        <v>1732</v>
      </c>
      <c r="E96" s="1" t="s">
        <v>1716</v>
      </c>
    </row>
    <row r="97" spans="3:5" x14ac:dyDescent="0.25">
      <c r="C97" s="1" t="s">
        <v>76</v>
      </c>
      <c r="D97" s="1" t="s">
        <v>1736</v>
      </c>
      <c r="E97" s="1" t="s">
        <v>465</v>
      </c>
    </row>
    <row r="98" spans="3:5" x14ac:dyDescent="0.25">
      <c r="C98" s="1" t="s">
        <v>76</v>
      </c>
      <c r="D98" s="1" t="s">
        <v>1741</v>
      </c>
      <c r="E98" s="1" t="s">
        <v>1716</v>
      </c>
    </row>
    <row r="99" spans="3:5" x14ac:dyDescent="0.25">
      <c r="C99" s="1" t="s">
        <v>76</v>
      </c>
      <c r="D99" s="1" t="s">
        <v>1190</v>
      </c>
      <c r="E99" s="1" t="s">
        <v>1183</v>
      </c>
    </row>
    <row r="100" spans="3:5" x14ac:dyDescent="0.25">
      <c r="C100" s="1" t="s">
        <v>76</v>
      </c>
      <c r="D100" s="1" t="s">
        <v>1233</v>
      </c>
      <c r="E100" s="1" t="s">
        <v>567</v>
      </c>
    </row>
    <row r="101" spans="3:5" x14ac:dyDescent="0.25">
      <c r="C101" s="1" t="s">
        <v>76</v>
      </c>
      <c r="D101" s="1" t="s">
        <v>1280</v>
      </c>
      <c r="E101" s="1" t="s">
        <v>670</v>
      </c>
    </row>
    <row r="102" spans="3:5" x14ac:dyDescent="0.25">
      <c r="C102" s="1" t="s">
        <v>76</v>
      </c>
      <c r="D102" s="1" t="s">
        <v>1286</v>
      </c>
      <c r="E102" s="1" t="s">
        <v>670</v>
      </c>
    </row>
    <row r="103" spans="3:5" x14ac:dyDescent="0.25">
      <c r="C103" s="1" t="s">
        <v>76</v>
      </c>
      <c r="D103" s="1" t="s">
        <v>1302</v>
      </c>
      <c r="E103" s="1" t="s">
        <v>1297</v>
      </c>
    </row>
    <row r="104" spans="3:5" x14ac:dyDescent="0.25">
      <c r="C104" s="1" t="s">
        <v>76</v>
      </c>
      <c r="D104" s="1" t="s">
        <v>1307</v>
      </c>
      <c r="E104" s="1" t="s">
        <v>1297</v>
      </c>
    </row>
    <row r="105" spans="3:5" x14ac:dyDescent="0.25">
      <c r="C105" s="1" t="s">
        <v>76</v>
      </c>
      <c r="D105" s="1" t="s">
        <v>1375</v>
      </c>
      <c r="E105" s="1" t="s">
        <v>67</v>
      </c>
    </row>
    <row r="106" spans="3:5" x14ac:dyDescent="0.25">
      <c r="C106" s="1" t="s">
        <v>76</v>
      </c>
      <c r="D106" s="1" t="s">
        <v>1381</v>
      </c>
      <c r="E106" s="1" t="s">
        <v>67</v>
      </c>
    </row>
    <row r="107" spans="3:5" x14ac:dyDescent="0.25">
      <c r="C107" s="1" t="s">
        <v>76</v>
      </c>
      <c r="D107" s="1" t="s">
        <v>1461</v>
      </c>
      <c r="E107" s="1" t="s">
        <v>834</v>
      </c>
    </row>
    <row r="108" spans="3:5" x14ac:dyDescent="0.25">
      <c r="C108" s="1" t="s">
        <v>76</v>
      </c>
      <c r="D108" s="1" t="s">
        <v>1540</v>
      </c>
      <c r="E108" s="1" t="s">
        <v>670</v>
      </c>
    </row>
    <row r="109" spans="3:5" x14ac:dyDescent="0.25">
      <c r="C109" s="1" t="s">
        <v>76</v>
      </c>
      <c r="D109" s="1" t="s">
        <v>1566</v>
      </c>
      <c r="E109" s="1" t="s">
        <v>1567</v>
      </c>
    </row>
    <row r="110" spans="3:5" x14ac:dyDescent="0.25">
      <c r="C110" s="1" t="s">
        <v>76</v>
      </c>
      <c r="D110" s="1" t="s">
        <v>1642</v>
      </c>
      <c r="E110" s="1" t="s">
        <v>48</v>
      </c>
    </row>
    <row r="111" spans="3:5" x14ac:dyDescent="0.25">
      <c r="C111" s="1" t="s">
        <v>76</v>
      </c>
      <c r="D111" s="1" t="s">
        <v>1649</v>
      </c>
      <c r="E111" s="1" t="s">
        <v>48</v>
      </c>
    </row>
    <row r="112" spans="3:5" x14ac:dyDescent="0.25">
      <c r="C112" s="1" t="s">
        <v>76</v>
      </c>
      <c r="D112" s="1" t="s">
        <v>1845</v>
      </c>
      <c r="E112" s="1" t="s">
        <v>48</v>
      </c>
    </row>
    <row r="113" spans="3:5" x14ac:dyDescent="0.25">
      <c r="C113" s="1" t="s">
        <v>76</v>
      </c>
      <c r="D113" s="1" t="s">
        <v>1851</v>
      </c>
      <c r="E113" s="1" t="s">
        <v>48</v>
      </c>
    </row>
    <row r="114" spans="3:5" x14ac:dyDescent="0.25">
      <c r="C114" s="1" t="s">
        <v>76</v>
      </c>
      <c r="D114" s="1" t="s">
        <v>1940</v>
      </c>
      <c r="E114" s="1" t="s">
        <v>48</v>
      </c>
    </row>
    <row r="115" spans="3:5" x14ac:dyDescent="0.25">
      <c r="C115" s="1" t="s">
        <v>76</v>
      </c>
      <c r="D115" s="1" t="s">
        <v>1946</v>
      </c>
      <c r="E115" s="1" t="s">
        <v>48</v>
      </c>
    </row>
    <row r="116" spans="3:5" x14ac:dyDescent="0.25">
      <c r="C116" s="1" t="s">
        <v>1051</v>
      </c>
      <c r="D116" s="1" t="s">
        <v>1052</v>
      </c>
      <c r="E116" s="1" t="s">
        <v>465</v>
      </c>
    </row>
    <row r="117" spans="3:5" x14ac:dyDescent="0.25">
      <c r="C117" s="1" t="s">
        <v>76</v>
      </c>
      <c r="D117" s="1" t="s">
        <v>1919</v>
      </c>
      <c r="E117" s="1" t="s">
        <v>48</v>
      </c>
    </row>
    <row r="118" spans="3:5" hidden="1" x14ac:dyDescent="0.25"/>
    <row r="119" spans="3:5" hidden="1" x14ac:dyDescent="0.25"/>
    <row r="120" spans="3:5" hidden="1" x14ac:dyDescent="0.25"/>
    <row r="121" spans="3:5" hidden="1" x14ac:dyDescent="0.25"/>
    <row r="122" spans="3:5" hidden="1" x14ac:dyDescent="0.25"/>
    <row r="123" spans="3:5" hidden="1" x14ac:dyDescent="0.25"/>
    <row r="125" spans="3:5" hidden="1" x14ac:dyDescent="0.25">
      <c r="C125" s="25" t="s">
        <v>2056</v>
      </c>
      <c r="D125" s="25"/>
      <c r="E125" s="25">
        <f>+COUNTA(C127:C427)</f>
        <v>298</v>
      </c>
    </row>
    <row r="126" spans="3:5" x14ac:dyDescent="0.25">
      <c r="C126" t="s">
        <v>36</v>
      </c>
      <c r="D126" t="s">
        <v>37</v>
      </c>
      <c r="E126" t="s">
        <v>38</v>
      </c>
    </row>
    <row r="127" spans="3:5" x14ac:dyDescent="0.25">
      <c r="C127" s="1" t="s">
        <v>158</v>
      </c>
      <c r="D127" s="1" t="s">
        <v>159</v>
      </c>
      <c r="E127" s="1" t="s">
        <v>146</v>
      </c>
    </row>
    <row r="128" spans="3:5" x14ac:dyDescent="0.25">
      <c r="C128" s="1" t="s">
        <v>158</v>
      </c>
      <c r="D128" s="1" t="s">
        <v>283</v>
      </c>
      <c r="E128" s="1" t="s">
        <v>254</v>
      </c>
    </row>
    <row r="129" spans="3:5" x14ac:dyDescent="0.25">
      <c r="C129" s="1" t="s">
        <v>158</v>
      </c>
      <c r="D129" s="1" t="s">
        <v>519</v>
      </c>
      <c r="E129" s="1" t="s">
        <v>493</v>
      </c>
    </row>
    <row r="130" spans="3:5" x14ac:dyDescent="0.25">
      <c r="C130" s="1" t="s">
        <v>158</v>
      </c>
      <c r="D130" s="1" t="s">
        <v>844</v>
      </c>
      <c r="E130" s="1" t="s">
        <v>834</v>
      </c>
    </row>
    <row r="131" spans="3:5" x14ac:dyDescent="0.25">
      <c r="C131" s="1" t="s">
        <v>158</v>
      </c>
      <c r="D131" s="1" t="s">
        <v>833</v>
      </c>
      <c r="E131" s="1" t="s">
        <v>834</v>
      </c>
    </row>
    <row r="132" spans="3:5" x14ac:dyDescent="0.25">
      <c r="C132" s="1" t="s">
        <v>158</v>
      </c>
      <c r="D132" s="1" t="s">
        <v>927</v>
      </c>
      <c r="E132" s="1" t="s">
        <v>897</v>
      </c>
    </row>
    <row r="133" spans="3:5" x14ac:dyDescent="0.25">
      <c r="C133" s="1" t="s">
        <v>158</v>
      </c>
      <c r="D133" s="1" t="s">
        <v>932</v>
      </c>
      <c r="E133" s="1" t="s">
        <v>897</v>
      </c>
    </row>
    <row r="134" spans="3:5" x14ac:dyDescent="0.25">
      <c r="C134" s="1" t="s">
        <v>158</v>
      </c>
      <c r="D134" s="1" t="s">
        <v>1058</v>
      </c>
      <c r="E134" s="1" t="s">
        <v>465</v>
      </c>
    </row>
    <row r="135" spans="3:5" x14ac:dyDescent="0.25">
      <c r="C135" s="1" t="s">
        <v>158</v>
      </c>
      <c r="D135" s="1" t="s">
        <v>1063</v>
      </c>
      <c r="E135" s="1" t="s">
        <v>465</v>
      </c>
    </row>
    <row r="136" spans="3:5" x14ac:dyDescent="0.25">
      <c r="C136" s="1" t="s">
        <v>158</v>
      </c>
      <c r="D136" s="1" t="s">
        <v>1746</v>
      </c>
      <c r="E136" s="1" t="s">
        <v>1716</v>
      </c>
    </row>
    <row r="137" spans="3:5" x14ac:dyDescent="0.25">
      <c r="C137" s="1" t="s">
        <v>158</v>
      </c>
      <c r="D137" s="1" t="s">
        <v>1751</v>
      </c>
      <c r="E137" s="1" t="s">
        <v>1716</v>
      </c>
    </row>
    <row r="138" spans="3:5" x14ac:dyDescent="0.25">
      <c r="C138" s="1" t="s">
        <v>158</v>
      </c>
      <c r="D138" s="1" t="s">
        <v>1466</v>
      </c>
      <c r="E138" s="1" t="s">
        <v>834</v>
      </c>
    </row>
    <row r="139" spans="3:5" x14ac:dyDescent="0.25">
      <c r="C139" s="1" t="s">
        <v>158</v>
      </c>
      <c r="D139" s="1" t="s">
        <v>1654</v>
      </c>
      <c r="E139" s="1" t="s">
        <v>48</v>
      </c>
    </row>
    <row r="140" spans="3:5" x14ac:dyDescent="0.25">
      <c r="C140" s="1" t="s">
        <v>158</v>
      </c>
      <c r="D140" s="1" t="s">
        <v>1660</v>
      </c>
      <c r="E140" s="1" t="s">
        <v>48</v>
      </c>
    </row>
    <row r="141" spans="3:5" x14ac:dyDescent="0.25">
      <c r="C141" s="1" t="s">
        <v>158</v>
      </c>
      <c r="D141" s="1" t="s">
        <v>1665</v>
      </c>
      <c r="E141" s="1" t="s">
        <v>48</v>
      </c>
    </row>
    <row r="142" spans="3:5" x14ac:dyDescent="0.25">
      <c r="C142" s="1" t="s">
        <v>158</v>
      </c>
      <c r="D142" s="1" t="s">
        <v>1857</v>
      </c>
      <c r="E142" s="1" t="s">
        <v>48</v>
      </c>
    </row>
    <row r="143" spans="3:5" x14ac:dyDescent="0.25">
      <c r="C143" s="1" t="s">
        <v>158</v>
      </c>
      <c r="D143" s="1" t="s">
        <v>733</v>
      </c>
      <c r="E143" s="1" t="s">
        <v>48</v>
      </c>
    </row>
    <row r="144" spans="3:5" x14ac:dyDescent="0.25">
      <c r="C144" s="1" t="s">
        <v>158</v>
      </c>
      <c r="D144" s="1" t="s">
        <v>1865</v>
      </c>
      <c r="E144" s="1" t="s">
        <v>48</v>
      </c>
    </row>
    <row r="145" spans="3:5" x14ac:dyDescent="0.25">
      <c r="C145" s="1" t="s">
        <v>158</v>
      </c>
      <c r="D145" s="1" t="s">
        <v>1871</v>
      </c>
      <c r="E145" s="1" t="s">
        <v>1872</v>
      </c>
    </row>
    <row r="146" spans="3:5" x14ac:dyDescent="0.25">
      <c r="C146" s="1" t="s">
        <v>158</v>
      </c>
      <c r="D146" s="1" t="s">
        <v>1877</v>
      </c>
      <c r="E146" s="1" t="s">
        <v>48</v>
      </c>
    </row>
    <row r="147" spans="3:5" x14ac:dyDescent="0.25">
      <c r="C147" s="1" t="s">
        <v>158</v>
      </c>
      <c r="D147" s="1" t="s">
        <v>1816</v>
      </c>
      <c r="E147" s="1" t="s">
        <v>48</v>
      </c>
    </row>
    <row r="148" spans="3:5" x14ac:dyDescent="0.25">
      <c r="C148" s="1" t="s">
        <v>158</v>
      </c>
      <c r="D148" s="1" t="s">
        <v>1951</v>
      </c>
      <c r="E148" s="1" t="s">
        <v>48</v>
      </c>
    </row>
    <row r="149" spans="3:5" x14ac:dyDescent="0.25">
      <c r="C149" s="1" t="s">
        <v>158</v>
      </c>
      <c r="D149" s="1" t="s">
        <v>1956</v>
      </c>
      <c r="E149" s="1" t="s">
        <v>48</v>
      </c>
    </row>
    <row r="150" spans="3:5" x14ac:dyDescent="0.25">
      <c r="C150" s="1" t="s">
        <v>288</v>
      </c>
      <c r="D150" s="1" t="s">
        <v>289</v>
      </c>
      <c r="E150" s="1" t="s">
        <v>254</v>
      </c>
    </row>
    <row r="151" spans="3:5" x14ac:dyDescent="0.25">
      <c r="C151" s="1" t="s">
        <v>288</v>
      </c>
      <c r="D151" s="1" t="s">
        <v>294</v>
      </c>
      <c r="E151" s="1" t="s">
        <v>254</v>
      </c>
    </row>
    <row r="152" spans="3:5" x14ac:dyDescent="0.25">
      <c r="C152" s="1" t="s">
        <v>288</v>
      </c>
      <c r="D152" s="1" t="s">
        <v>298</v>
      </c>
      <c r="E152" s="1" t="s">
        <v>254</v>
      </c>
    </row>
    <row r="153" spans="3:5" x14ac:dyDescent="0.25">
      <c r="C153" s="1" t="s">
        <v>288</v>
      </c>
      <c r="D153" s="1" t="s">
        <v>304</v>
      </c>
      <c r="E153" s="1" t="s">
        <v>254</v>
      </c>
    </row>
    <row r="154" spans="3:5" x14ac:dyDescent="0.25">
      <c r="C154" s="1" t="s">
        <v>288</v>
      </c>
      <c r="D154" s="1" t="s">
        <v>272</v>
      </c>
      <c r="E154" s="1" t="s">
        <v>254</v>
      </c>
    </row>
    <row r="155" spans="3:5" x14ac:dyDescent="0.25">
      <c r="C155" s="1" t="s">
        <v>288</v>
      </c>
      <c r="D155" s="1" t="s">
        <v>283</v>
      </c>
      <c r="E155" s="1" t="s">
        <v>395</v>
      </c>
    </row>
    <row r="156" spans="3:5" x14ac:dyDescent="0.25">
      <c r="C156" s="1" t="s">
        <v>288</v>
      </c>
      <c r="D156" s="1" t="s">
        <v>631</v>
      </c>
      <c r="E156" s="1" t="s">
        <v>620</v>
      </c>
    </row>
    <row r="157" spans="3:5" x14ac:dyDescent="0.25">
      <c r="C157" s="1" t="s">
        <v>288</v>
      </c>
      <c r="D157" s="1" t="s">
        <v>635</v>
      </c>
      <c r="E157" s="1" t="s">
        <v>620</v>
      </c>
    </row>
    <row r="158" spans="3:5" x14ac:dyDescent="0.25">
      <c r="C158" s="1" t="s">
        <v>288</v>
      </c>
      <c r="D158" s="1" t="s">
        <v>853</v>
      </c>
      <c r="E158" s="1" t="s">
        <v>834</v>
      </c>
    </row>
    <row r="159" spans="3:5" x14ac:dyDescent="0.25">
      <c r="C159" s="1" t="s">
        <v>288</v>
      </c>
      <c r="D159" s="1" t="s">
        <v>937</v>
      </c>
      <c r="E159" s="1" t="s">
        <v>897</v>
      </c>
    </row>
    <row r="160" spans="3:5" x14ac:dyDescent="0.25">
      <c r="C160" s="1" t="s">
        <v>288</v>
      </c>
      <c r="D160" s="1" t="s">
        <v>1068</v>
      </c>
      <c r="E160" s="1" t="s">
        <v>465</v>
      </c>
    </row>
    <row r="161" spans="3:5" x14ac:dyDescent="0.25">
      <c r="C161" s="1" t="s">
        <v>288</v>
      </c>
      <c r="D161" s="1" t="s">
        <v>1757</v>
      </c>
      <c r="E161" s="1" t="s">
        <v>1716</v>
      </c>
    </row>
    <row r="162" spans="3:5" x14ac:dyDescent="0.25">
      <c r="C162" s="1" t="s">
        <v>288</v>
      </c>
      <c r="D162" s="1" t="s">
        <v>1762</v>
      </c>
      <c r="E162" s="1" t="s">
        <v>1716</v>
      </c>
    </row>
    <row r="163" spans="3:5" x14ac:dyDescent="0.25">
      <c r="C163" s="1" t="s">
        <v>288</v>
      </c>
      <c r="D163" s="1" t="s">
        <v>1767</v>
      </c>
      <c r="E163" s="1" t="s">
        <v>1716</v>
      </c>
    </row>
    <row r="164" spans="3:5" x14ac:dyDescent="0.25">
      <c r="C164" s="1" t="s">
        <v>288</v>
      </c>
      <c r="D164" s="1" t="s">
        <v>1185</v>
      </c>
      <c r="E164" s="1" t="s">
        <v>1183</v>
      </c>
    </row>
    <row r="165" spans="3:5" x14ac:dyDescent="0.25">
      <c r="C165" s="1" t="s">
        <v>288</v>
      </c>
      <c r="D165" s="1" t="s">
        <v>1200</v>
      </c>
      <c r="E165" s="1" t="s">
        <v>1183</v>
      </c>
    </row>
    <row r="166" spans="3:5" x14ac:dyDescent="0.25">
      <c r="C166" s="1" t="s">
        <v>288</v>
      </c>
      <c r="D166" s="1" t="s">
        <v>1385</v>
      </c>
      <c r="E166" s="1" t="s">
        <v>67</v>
      </c>
    </row>
    <row r="167" spans="3:5" x14ac:dyDescent="0.25">
      <c r="C167" s="1" t="s">
        <v>288</v>
      </c>
      <c r="D167" s="1" t="s">
        <v>1391</v>
      </c>
      <c r="E167" s="1" t="s">
        <v>67</v>
      </c>
    </row>
    <row r="168" spans="3:5" x14ac:dyDescent="0.25">
      <c r="C168" s="1" t="s">
        <v>288</v>
      </c>
      <c r="D168" s="1" t="s">
        <v>68</v>
      </c>
      <c r="E168" s="1" t="s">
        <v>67</v>
      </c>
    </row>
    <row r="169" spans="3:5" x14ac:dyDescent="0.25">
      <c r="C169" s="1" t="s">
        <v>288</v>
      </c>
      <c r="D169" s="1" t="s">
        <v>1472</v>
      </c>
      <c r="E169" s="1" t="s">
        <v>834</v>
      </c>
    </row>
    <row r="170" spans="3:5" x14ac:dyDescent="0.25">
      <c r="C170" s="1" t="s">
        <v>288</v>
      </c>
      <c r="D170" s="1" t="s">
        <v>1504</v>
      </c>
      <c r="E170" s="1" t="s">
        <v>1497</v>
      </c>
    </row>
    <row r="171" spans="3:5" x14ac:dyDescent="0.25">
      <c r="C171" s="1" t="s">
        <v>288</v>
      </c>
      <c r="D171" s="1" t="s">
        <v>1671</v>
      </c>
      <c r="E171" s="1" t="s">
        <v>48</v>
      </c>
    </row>
    <row r="172" spans="3:5" x14ac:dyDescent="0.25">
      <c r="C172" s="1" t="s">
        <v>288</v>
      </c>
      <c r="D172" s="1" t="s">
        <v>1677</v>
      </c>
      <c r="E172" s="1" t="s">
        <v>48</v>
      </c>
    </row>
    <row r="173" spans="3:5" x14ac:dyDescent="0.25">
      <c r="C173" s="1" t="s">
        <v>288</v>
      </c>
      <c r="D173" s="1" t="s">
        <v>1682</v>
      </c>
      <c r="E173" s="1" t="s">
        <v>48</v>
      </c>
    </row>
    <row r="174" spans="3:5" x14ac:dyDescent="0.25">
      <c r="C174" s="1" t="s">
        <v>288</v>
      </c>
      <c r="D174" s="1" t="s">
        <v>1686</v>
      </c>
      <c r="E174" s="1" t="s">
        <v>48</v>
      </c>
    </row>
    <row r="175" spans="3:5" x14ac:dyDescent="0.25">
      <c r="C175" s="1" t="s">
        <v>288</v>
      </c>
      <c r="D175" s="1" t="s">
        <v>1691</v>
      </c>
      <c r="E175" s="1" t="s">
        <v>48</v>
      </c>
    </row>
    <row r="176" spans="3:5" x14ac:dyDescent="0.25">
      <c r="C176" s="1" t="s">
        <v>288</v>
      </c>
      <c r="D176" s="1" t="s">
        <v>1695</v>
      </c>
      <c r="E176" s="1" t="s">
        <v>48</v>
      </c>
    </row>
    <row r="177" spans="3:5" x14ac:dyDescent="0.25">
      <c r="C177" s="1" t="s">
        <v>288</v>
      </c>
      <c r="D177" s="1" t="s">
        <v>1886</v>
      </c>
      <c r="E177" s="1" t="s">
        <v>48</v>
      </c>
    </row>
    <row r="178" spans="3:5" x14ac:dyDescent="0.25">
      <c r="C178" s="1" t="s">
        <v>288</v>
      </c>
      <c r="D178" s="1" t="s">
        <v>1891</v>
      </c>
      <c r="E178" s="1" t="s">
        <v>48</v>
      </c>
    </row>
    <row r="179" spans="3:5" x14ac:dyDescent="0.25">
      <c r="C179" s="1" t="s">
        <v>288</v>
      </c>
      <c r="D179" s="1" t="s">
        <v>1896</v>
      </c>
      <c r="E179" s="1" t="s">
        <v>48</v>
      </c>
    </row>
    <row r="180" spans="3:5" x14ac:dyDescent="0.25">
      <c r="C180" s="1" t="s">
        <v>288</v>
      </c>
      <c r="D180" s="1" t="s">
        <v>1961</v>
      </c>
      <c r="E180" s="1" t="s">
        <v>48</v>
      </c>
    </row>
    <row r="181" spans="3:5" x14ac:dyDescent="0.25">
      <c r="C181" s="1" t="s">
        <v>288</v>
      </c>
      <c r="D181" s="1" t="s">
        <v>1966</v>
      </c>
      <c r="E181" s="1" t="s">
        <v>1924</v>
      </c>
    </row>
    <row r="182" spans="3:5" x14ac:dyDescent="0.25">
      <c r="C182" s="1" t="s">
        <v>288</v>
      </c>
      <c r="D182" s="1" t="s">
        <v>1973</v>
      </c>
      <c r="E182" s="1" t="s">
        <v>48</v>
      </c>
    </row>
    <row r="183" spans="3:5" x14ac:dyDescent="0.25">
      <c r="C183" s="1" t="s">
        <v>288</v>
      </c>
      <c r="D183" s="1" t="s">
        <v>1977</v>
      </c>
      <c r="E183" s="1" t="s">
        <v>1924</v>
      </c>
    </row>
    <row r="184" spans="3:5" x14ac:dyDescent="0.25">
      <c r="C184" s="1" t="s">
        <v>288</v>
      </c>
      <c r="D184" s="1" t="s">
        <v>1982</v>
      </c>
      <c r="E184" s="1" t="s">
        <v>1924</v>
      </c>
    </row>
    <row r="185" spans="3:5" x14ac:dyDescent="0.25">
      <c r="C185" s="1" t="s">
        <v>288</v>
      </c>
      <c r="D185" s="1" t="s">
        <v>1987</v>
      </c>
      <c r="E185" s="1" t="s">
        <v>48</v>
      </c>
    </row>
    <row r="186" spans="3:5" x14ac:dyDescent="0.25">
      <c r="C186" s="1" t="s">
        <v>288</v>
      </c>
      <c r="D186" s="1" t="s">
        <v>1992</v>
      </c>
      <c r="E186" s="1" t="s">
        <v>48</v>
      </c>
    </row>
    <row r="187" spans="3:5" x14ac:dyDescent="0.25">
      <c r="C187" s="1" t="s">
        <v>164</v>
      </c>
      <c r="D187" s="1" t="s">
        <v>165</v>
      </c>
      <c r="E187" s="1" t="s">
        <v>146</v>
      </c>
    </row>
    <row r="188" spans="3:5" x14ac:dyDescent="0.25">
      <c r="C188" s="1" t="s">
        <v>164</v>
      </c>
      <c r="D188" s="1" t="s">
        <v>169</v>
      </c>
      <c r="E188" s="1" t="s">
        <v>146</v>
      </c>
    </row>
    <row r="189" spans="3:5" x14ac:dyDescent="0.25">
      <c r="C189" s="1" t="s">
        <v>164</v>
      </c>
      <c r="D189" s="1" t="s">
        <v>173</v>
      </c>
      <c r="E189" s="1" t="s">
        <v>146</v>
      </c>
    </row>
    <row r="190" spans="3:5" x14ac:dyDescent="0.25">
      <c r="C190" s="1" t="s">
        <v>164</v>
      </c>
      <c r="D190" s="1" t="s">
        <v>177</v>
      </c>
      <c r="E190" s="1" t="s">
        <v>146</v>
      </c>
    </row>
    <row r="191" spans="3:5" x14ac:dyDescent="0.25">
      <c r="C191" s="1" t="s">
        <v>164</v>
      </c>
      <c r="D191" s="1" t="s">
        <v>313</v>
      </c>
      <c r="E191" s="1" t="s">
        <v>254</v>
      </c>
    </row>
    <row r="192" spans="3:5" x14ac:dyDescent="0.25">
      <c r="C192" s="1" t="s">
        <v>164</v>
      </c>
      <c r="D192" s="1" t="s">
        <v>447</v>
      </c>
      <c r="E192" s="1" t="s">
        <v>442</v>
      </c>
    </row>
    <row r="193" spans="3:5" x14ac:dyDescent="0.25">
      <c r="C193" s="1" t="s">
        <v>164</v>
      </c>
      <c r="D193" s="1" t="s">
        <v>451</v>
      </c>
      <c r="E193" s="1" t="s">
        <v>442</v>
      </c>
    </row>
    <row r="194" spans="3:5" x14ac:dyDescent="0.25">
      <c r="C194" s="1" t="s">
        <v>164</v>
      </c>
      <c r="D194" s="1" t="s">
        <v>524</v>
      </c>
      <c r="E194" s="1" t="s">
        <v>493</v>
      </c>
    </row>
    <row r="195" spans="3:5" x14ac:dyDescent="0.25">
      <c r="C195" s="1" t="s">
        <v>164</v>
      </c>
      <c r="D195" s="1" t="s">
        <v>528</v>
      </c>
      <c r="E195" s="1" t="s">
        <v>493</v>
      </c>
    </row>
    <row r="196" spans="3:5" x14ac:dyDescent="0.25">
      <c r="C196" s="1" t="s">
        <v>164</v>
      </c>
      <c r="D196" s="1" t="s">
        <v>532</v>
      </c>
      <c r="E196" s="1" t="s">
        <v>493</v>
      </c>
    </row>
    <row r="197" spans="3:5" x14ac:dyDescent="0.25">
      <c r="C197" s="1" t="s">
        <v>164</v>
      </c>
      <c r="D197" s="1" t="s">
        <v>283</v>
      </c>
      <c r="E197" s="1" t="s">
        <v>493</v>
      </c>
    </row>
    <row r="198" spans="3:5" x14ac:dyDescent="0.25">
      <c r="C198" s="1" t="s">
        <v>164</v>
      </c>
      <c r="D198" s="1" t="s">
        <v>542</v>
      </c>
      <c r="E198" s="1" t="s">
        <v>493</v>
      </c>
    </row>
    <row r="199" spans="3:5" x14ac:dyDescent="0.25">
      <c r="C199" s="1" t="s">
        <v>164</v>
      </c>
      <c r="D199" s="1" t="s">
        <v>546</v>
      </c>
      <c r="E199" s="1" t="s">
        <v>493</v>
      </c>
    </row>
    <row r="200" spans="3:5" x14ac:dyDescent="0.25">
      <c r="C200" s="1" t="s">
        <v>164</v>
      </c>
      <c r="D200" s="1" t="s">
        <v>425</v>
      </c>
      <c r="E200" s="1" t="s">
        <v>493</v>
      </c>
    </row>
    <row r="201" spans="3:5" x14ac:dyDescent="0.25">
      <c r="C201" s="1" t="s">
        <v>164</v>
      </c>
      <c r="D201" s="1" t="s">
        <v>556</v>
      </c>
      <c r="E201" s="1" t="s">
        <v>493</v>
      </c>
    </row>
    <row r="202" spans="3:5" x14ac:dyDescent="0.25">
      <c r="C202" s="1" t="s">
        <v>164</v>
      </c>
      <c r="D202" s="1" t="s">
        <v>591</v>
      </c>
      <c r="E202" s="1" t="s">
        <v>585</v>
      </c>
    </row>
    <row r="203" spans="3:5" x14ac:dyDescent="0.25">
      <c r="C203" s="1" t="s">
        <v>164</v>
      </c>
      <c r="D203" s="1" t="s">
        <v>201</v>
      </c>
      <c r="E203" s="1" t="s">
        <v>585</v>
      </c>
    </row>
    <row r="204" spans="3:5" x14ac:dyDescent="0.25">
      <c r="C204" s="1" t="s">
        <v>164</v>
      </c>
      <c r="D204" s="1" t="s">
        <v>627</v>
      </c>
      <c r="E204" s="1" t="s">
        <v>620</v>
      </c>
    </row>
    <row r="205" spans="3:5" x14ac:dyDescent="0.25">
      <c r="C205" s="1" t="s">
        <v>164</v>
      </c>
      <c r="D205" s="1" t="s">
        <v>695</v>
      </c>
      <c r="E205" s="1" t="s">
        <v>146</v>
      </c>
    </row>
    <row r="206" spans="3:5" x14ac:dyDescent="0.25">
      <c r="C206" s="1" t="s">
        <v>164</v>
      </c>
      <c r="D206" s="1" t="s">
        <v>700</v>
      </c>
      <c r="E206" s="1" t="s">
        <v>146</v>
      </c>
    </row>
    <row r="207" spans="3:5" x14ac:dyDescent="0.25">
      <c r="C207" s="1" t="s">
        <v>164</v>
      </c>
      <c r="D207" s="1" t="s">
        <v>704</v>
      </c>
      <c r="E207" s="1" t="s">
        <v>146</v>
      </c>
    </row>
    <row r="208" spans="3:5" x14ac:dyDescent="0.25">
      <c r="C208" s="1" t="s">
        <v>164</v>
      </c>
      <c r="D208" s="1" t="s">
        <v>859</v>
      </c>
      <c r="E208" s="1" t="s">
        <v>834</v>
      </c>
    </row>
    <row r="209" spans="3:5" x14ac:dyDescent="0.25">
      <c r="C209" s="1" t="s">
        <v>164</v>
      </c>
      <c r="D209" s="1" t="s">
        <v>943</v>
      </c>
      <c r="E209" s="1" t="s">
        <v>897</v>
      </c>
    </row>
    <row r="210" spans="3:5" x14ac:dyDescent="0.25">
      <c r="C210" s="1" t="s">
        <v>164</v>
      </c>
      <c r="D210" s="1" t="s">
        <v>1023</v>
      </c>
      <c r="E210" s="1" t="s">
        <v>465</v>
      </c>
    </row>
    <row r="211" spans="3:5" x14ac:dyDescent="0.25">
      <c r="C211" s="1" t="s">
        <v>164</v>
      </c>
      <c r="D211" s="1" t="s">
        <v>1076</v>
      </c>
      <c r="E211" s="1" t="s">
        <v>465</v>
      </c>
    </row>
    <row r="212" spans="3:5" x14ac:dyDescent="0.25">
      <c r="C212" s="1" t="s">
        <v>164</v>
      </c>
      <c r="D212" s="1" t="s">
        <v>1082</v>
      </c>
      <c r="E212" s="1" t="s">
        <v>465</v>
      </c>
    </row>
    <row r="213" spans="3:5" x14ac:dyDescent="0.25">
      <c r="C213" s="1" t="s">
        <v>164</v>
      </c>
      <c r="D213" s="1" t="s">
        <v>1771</v>
      </c>
      <c r="E213" s="1" t="s">
        <v>1716</v>
      </c>
    </row>
    <row r="214" spans="3:5" x14ac:dyDescent="0.25">
      <c r="C214" s="1" t="s">
        <v>164</v>
      </c>
      <c r="D214" s="1" t="s">
        <v>1777</v>
      </c>
      <c r="E214" s="1" t="s">
        <v>442</v>
      </c>
    </row>
    <row r="215" spans="3:5" x14ac:dyDescent="0.25">
      <c r="C215" s="1" t="s">
        <v>164</v>
      </c>
      <c r="D215" s="1" t="s">
        <v>1782</v>
      </c>
      <c r="E215" s="1" t="s">
        <v>442</v>
      </c>
    </row>
    <row r="216" spans="3:5" x14ac:dyDescent="0.25">
      <c r="C216" s="1" t="s">
        <v>164</v>
      </c>
      <c r="D216" s="1" t="s">
        <v>1786</v>
      </c>
      <c r="E216" s="1" t="s">
        <v>1716</v>
      </c>
    </row>
    <row r="217" spans="3:5" x14ac:dyDescent="0.25">
      <c r="C217" s="1" t="s">
        <v>164</v>
      </c>
      <c r="D217" s="1" t="s">
        <v>1261</v>
      </c>
      <c r="E217" s="1" t="s">
        <v>1251</v>
      </c>
    </row>
    <row r="218" spans="3:5" x14ac:dyDescent="0.25">
      <c r="C218" s="1" t="s">
        <v>164</v>
      </c>
      <c r="D218" s="1" t="s">
        <v>1265</v>
      </c>
      <c r="E218" s="1" t="s">
        <v>1251</v>
      </c>
    </row>
    <row r="219" spans="3:5" x14ac:dyDescent="0.25">
      <c r="C219" s="1" t="s">
        <v>164</v>
      </c>
      <c r="D219" s="1" t="s">
        <v>1313</v>
      </c>
      <c r="E219" s="1" t="s">
        <v>1297</v>
      </c>
    </row>
    <row r="220" spans="3:5" x14ac:dyDescent="0.25">
      <c r="C220" s="1" t="s">
        <v>164</v>
      </c>
      <c r="D220" s="1" t="s">
        <v>1401</v>
      </c>
      <c r="E220" s="1" t="s">
        <v>67</v>
      </c>
    </row>
    <row r="221" spans="3:5" x14ac:dyDescent="0.25">
      <c r="C221" s="1" t="s">
        <v>164</v>
      </c>
      <c r="D221" s="1" t="s">
        <v>1406</v>
      </c>
      <c r="E221" s="1" t="s">
        <v>67</v>
      </c>
    </row>
    <row r="222" spans="3:5" x14ac:dyDescent="0.25">
      <c r="C222" s="1" t="s">
        <v>164</v>
      </c>
      <c r="D222" s="1" t="s">
        <v>1412</v>
      </c>
      <c r="E222" s="1" t="s">
        <v>67</v>
      </c>
    </row>
    <row r="223" spans="3:5" x14ac:dyDescent="0.25">
      <c r="C223" s="1" t="s">
        <v>164</v>
      </c>
      <c r="D223" s="1" t="s">
        <v>283</v>
      </c>
      <c r="E223" s="1" t="s">
        <v>670</v>
      </c>
    </row>
    <row r="224" spans="3:5" x14ac:dyDescent="0.25">
      <c r="C224" s="1" t="s">
        <v>164</v>
      </c>
      <c r="D224" s="1" t="s">
        <v>1549</v>
      </c>
      <c r="E224" s="1" t="s">
        <v>670</v>
      </c>
    </row>
    <row r="225" spans="3:5" x14ac:dyDescent="0.25">
      <c r="C225" s="1" t="s">
        <v>164</v>
      </c>
      <c r="D225" s="1" t="s">
        <v>1698</v>
      </c>
      <c r="E225" s="1" t="s">
        <v>48</v>
      </c>
    </row>
    <row r="226" spans="3:5" x14ac:dyDescent="0.25">
      <c r="C226" s="1" t="s">
        <v>164</v>
      </c>
      <c r="D226" s="1" t="s">
        <v>1702</v>
      </c>
      <c r="E226" s="1" t="s">
        <v>48</v>
      </c>
    </row>
    <row r="227" spans="3:5" x14ac:dyDescent="0.25">
      <c r="C227" s="1" t="s">
        <v>164</v>
      </c>
      <c r="D227" s="1" t="s">
        <v>1900</v>
      </c>
      <c r="E227" s="1" t="s">
        <v>48</v>
      </c>
    </row>
    <row r="228" spans="3:5" x14ac:dyDescent="0.25">
      <c r="C228" s="1" t="s">
        <v>164</v>
      </c>
      <c r="D228" s="1" t="s">
        <v>1905</v>
      </c>
      <c r="E228" s="1" t="s">
        <v>48</v>
      </c>
    </row>
    <row r="229" spans="3:5" x14ac:dyDescent="0.25">
      <c r="C229" s="1" t="s">
        <v>100</v>
      </c>
      <c r="D229" s="1" t="s">
        <v>101</v>
      </c>
      <c r="E229" s="1" t="s">
        <v>78</v>
      </c>
    </row>
    <row r="230" spans="3:5" x14ac:dyDescent="0.25">
      <c r="C230" s="1" t="s">
        <v>100</v>
      </c>
      <c r="D230" s="1" t="s">
        <v>109</v>
      </c>
      <c r="E230" s="1" t="s">
        <v>78</v>
      </c>
    </row>
    <row r="231" spans="3:5" x14ac:dyDescent="0.25">
      <c r="C231" s="1" t="s">
        <v>100</v>
      </c>
      <c r="D231" s="1" t="s">
        <v>181</v>
      </c>
      <c r="E231" s="1" t="s">
        <v>146</v>
      </c>
    </row>
    <row r="232" spans="3:5" x14ac:dyDescent="0.25">
      <c r="C232" s="1" t="s">
        <v>100</v>
      </c>
      <c r="D232" s="1" t="s">
        <v>218</v>
      </c>
      <c r="E232" s="1" t="s">
        <v>208</v>
      </c>
    </row>
    <row r="233" spans="3:5" x14ac:dyDescent="0.25">
      <c r="C233" s="1" t="s">
        <v>100</v>
      </c>
      <c r="D233" s="1" t="s">
        <v>225</v>
      </c>
      <c r="E233" s="1" t="s">
        <v>208</v>
      </c>
    </row>
    <row r="234" spans="3:5" x14ac:dyDescent="0.25">
      <c r="C234" s="1" t="s">
        <v>100</v>
      </c>
      <c r="D234" s="1" t="s">
        <v>230</v>
      </c>
      <c r="E234" s="1" t="s">
        <v>208</v>
      </c>
    </row>
    <row r="235" spans="3:5" x14ac:dyDescent="0.25">
      <c r="C235" s="1" t="s">
        <v>100</v>
      </c>
      <c r="D235" s="1" t="s">
        <v>318</v>
      </c>
      <c r="E235" s="1" t="s">
        <v>254</v>
      </c>
    </row>
    <row r="236" spans="3:5" x14ac:dyDescent="0.25">
      <c r="C236" s="1" t="s">
        <v>100</v>
      </c>
      <c r="D236" s="1" t="s">
        <v>406</v>
      </c>
      <c r="E236" s="1" t="s">
        <v>395</v>
      </c>
    </row>
    <row r="237" spans="3:5" x14ac:dyDescent="0.25">
      <c r="C237" s="1" t="s">
        <v>100</v>
      </c>
      <c r="D237" s="1" t="s">
        <v>454</v>
      </c>
      <c r="E237" s="1" t="s">
        <v>442</v>
      </c>
    </row>
    <row r="238" spans="3:5" x14ac:dyDescent="0.25">
      <c r="C238" s="1" t="s">
        <v>100</v>
      </c>
      <c r="D238" s="1" t="s">
        <v>561</v>
      </c>
      <c r="E238" s="1" t="s">
        <v>493</v>
      </c>
    </row>
    <row r="239" spans="3:5" x14ac:dyDescent="0.25">
      <c r="C239" s="1" t="s">
        <v>100</v>
      </c>
      <c r="D239" s="1" t="s">
        <v>708</v>
      </c>
      <c r="E239" s="1" t="s">
        <v>146</v>
      </c>
    </row>
    <row r="240" spans="3:5" x14ac:dyDescent="0.25">
      <c r="C240" s="1" t="s">
        <v>100</v>
      </c>
      <c r="D240" s="1" t="s">
        <v>757</v>
      </c>
      <c r="E240" s="1" t="s">
        <v>727</v>
      </c>
    </row>
    <row r="241" spans="3:5" x14ac:dyDescent="0.25">
      <c r="C241" s="1" t="s">
        <v>100</v>
      </c>
      <c r="D241" s="1" t="s">
        <v>762</v>
      </c>
      <c r="E241" s="1" t="s">
        <v>727</v>
      </c>
    </row>
    <row r="242" spans="3:5" x14ac:dyDescent="0.25">
      <c r="C242" s="1" t="s">
        <v>100</v>
      </c>
      <c r="D242" s="1" t="s">
        <v>769</v>
      </c>
      <c r="E242" s="1" t="s">
        <v>727</v>
      </c>
    </row>
    <row r="243" spans="3:5" x14ac:dyDescent="0.25">
      <c r="C243" s="1" t="s">
        <v>100</v>
      </c>
      <c r="D243" s="1" t="s">
        <v>773</v>
      </c>
      <c r="E243" s="1" t="s">
        <v>727</v>
      </c>
    </row>
    <row r="244" spans="3:5" x14ac:dyDescent="0.25">
      <c r="C244" s="1" t="s">
        <v>100</v>
      </c>
      <c r="D244" s="1" t="s">
        <v>779</v>
      </c>
      <c r="E244" s="1" t="s">
        <v>395</v>
      </c>
    </row>
    <row r="245" spans="3:5" x14ac:dyDescent="0.25">
      <c r="C245" s="1" t="s">
        <v>100</v>
      </c>
      <c r="D245" s="1" t="s">
        <v>785</v>
      </c>
      <c r="E245" s="1" t="s">
        <v>727</v>
      </c>
    </row>
    <row r="246" spans="3:5" x14ac:dyDescent="0.25">
      <c r="C246" s="1" t="s">
        <v>100</v>
      </c>
      <c r="D246" s="1" t="s">
        <v>823</v>
      </c>
      <c r="E246" s="1" t="s">
        <v>442</v>
      </c>
    </row>
    <row r="247" spans="3:5" x14ac:dyDescent="0.25">
      <c r="C247" s="1" t="s">
        <v>100</v>
      </c>
      <c r="D247" s="1" t="s">
        <v>865</v>
      </c>
      <c r="E247" s="1" t="s">
        <v>834</v>
      </c>
    </row>
    <row r="248" spans="3:5" x14ac:dyDescent="0.25">
      <c r="C248" s="1" t="s">
        <v>100</v>
      </c>
      <c r="D248" s="1" t="s">
        <v>947</v>
      </c>
      <c r="E248" s="1" t="s">
        <v>897</v>
      </c>
    </row>
    <row r="249" spans="3:5" x14ac:dyDescent="0.25">
      <c r="C249" s="1" t="s">
        <v>100</v>
      </c>
      <c r="D249" s="1" t="s">
        <v>953</v>
      </c>
      <c r="E249" s="1" t="s">
        <v>897</v>
      </c>
    </row>
    <row r="250" spans="3:5" x14ac:dyDescent="0.25">
      <c r="C250" s="1" t="s">
        <v>100</v>
      </c>
      <c r="D250" s="1" t="s">
        <v>897</v>
      </c>
      <c r="E250" s="1" t="s">
        <v>897</v>
      </c>
    </row>
    <row r="251" spans="3:5" x14ac:dyDescent="0.25">
      <c r="C251" s="1" t="s">
        <v>100</v>
      </c>
      <c r="D251" s="1" t="s">
        <v>961</v>
      </c>
      <c r="E251" s="1" t="s">
        <v>897</v>
      </c>
    </row>
    <row r="252" spans="3:5" x14ac:dyDescent="0.25">
      <c r="C252" s="1" t="s">
        <v>100</v>
      </c>
      <c r="D252" s="1" t="s">
        <v>1087</v>
      </c>
      <c r="E252" s="1" t="s">
        <v>465</v>
      </c>
    </row>
    <row r="253" spans="3:5" x14ac:dyDescent="0.25">
      <c r="C253" s="1" t="s">
        <v>100</v>
      </c>
      <c r="D253" s="1" t="s">
        <v>1092</v>
      </c>
      <c r="E253" s="1" t="s">
        <v>465</v>
      </c>
    </row>
    <row r="254" spans="3:5" x14ac:dyDescent="0.25">
      <c r="C254" s="1" t="s">
        <v>100</v>
      </c>
      <c r="D254" s="1" t="s">
        <v>1098</v>
      </c>
      <c r="E254" s="1" t="s">
        <v>465</v>
      </c>
    </row>
    <row r="255" spans="3:5" x14ac:dyDescent="0.25">
      <c r="C255" s="1" t="s">
        <v>100</v>
      </c>
      <c r="D255" s="1" t="s">
        <v>1102</v>
      </c>
      <c r="E255" s="1" t="s">
        <v>465</v>
      </c>
    </row>
    <row r="256" spans="3:5" x14ac:dyDescent="0.25">
      <c r="C256" s="1" t="s">
        <v>100</v>
      </c>
      <c r="D256" s="1" t="s">
        <v>1106</v>
      </c>
      <c r="E256" s="1" t="s">
        <v>465</v>
      </c>
    </row>
    <row r="257" spans="3:5" x14ac:dyDescent="0.25">
      <c r="C257" s="1" t="s">
        <v>100</v>
      </c>
      <c r="D257" s="1" t="s">
        <v>1112</v>
      </c>
      <c r="E257" s="1" t="s">
        <v>465</v>
      </c>
    </row>
    <row r="258" spans="3:5" x14ac:dyDescent="0.25">
      <c r="C258" s="1" t="s">
        <v>100</v>
      </c>
      <c r="D258" s="1" t="s">
        <v>1791</v>
      </c>
      <c r="E258" s="1" t="s">
        <v>1716</v>
      </c>
    </row>
    <row r="259" spans="3:5" x14ac:dyDescent="0.25">
      <c r="C259" s="1" t="s">
        <v>100</v>
      </c>
      <c r="D259" s="1" t="s">
        <v>1795</v>
      </c>
      <c r="E259" s="1" t="s">
        <v>1716</v>
      </c>
    </row>
    <row r="260" spans="3:5" x14ac:dyDescent="0.25">
      <c r="C260" s="1" t="s">
        <v>100</v>
      </c>
      <c r="D260" s="1" t="s">
        <v>1799</v>
      </c>
      <c r="E260" s="1" t="s">
        <v>1716</v>
      </c>
    </row>
    <row r="261" spans="3:5" x14ac:dyDescent="0.25">
      <c r="C261" s="1" t="s">
        <v>100</v>
      </c>
      <c r="D261" s="1" t="s">
        <v>1803</v>
      </c>
      <c r="E261" s="1" t="s">
        <v>1716</v>
      </c>
    </row>
    <row r="262" spans="3:5" x14ac:dyDescent="0.25">
      <c r="C262" s="1" t="s">
        <v>100</v>
      </c>
      <c r="D262" s="1" t="s">
        <v>1206</v>
      </c>
      <c r="E262" s="1" t="s">
        <v>1183</v>
      </c>
    </row>
    <row r="263" spans="3:5" x14ac:dyDescent="0.25">
      <c r="C263" s="1" t="s">
        <v>100</v>
      </c>
      <c r="D263" s="1" t="s">
        <v>1213</v>
      </c>
      <c r="E263" s="1" t="s">
        <v>1183</v>
      </c>
    </row>
    <row r="264" spans="3:5" x14ac:dyDescent="0.25">
      <c r="C264" s="1" t="s">
        <v>100</v>
      </c>
      <c r="D264" s="1" t="s">
        <v>1218</v>
      </c>
      <c r="E264" s="1" t="s">
        <v>1183</v>
      </c>
    </row>
    <row r="265" spans="3:5" x14ac:dyDescent="0.25">
      <c r="C265" s="1" t="s">
        <v>100</v>
      </c>
      <c r="D265" s="1" t="s">
        <v>397</v>
      </c>
      <c r="E265" s="1" t="s">
        <v>1183</v>
      </c>
    </row>
    <row r="266" spans="3:5" x14ac:dyDescent="0.25">
      <c r="C266" s="1" t="s">
        <v>100</v>
      </c>
      <c r="D266" s="1" t="s">
        <v>1269</v>
      </c>
      <c r="E266" s="1" t="s">
        <v>1251</v>
      </c>
    </row>
    <row r="267" spans="3:5" x14ac:dyDescent="0.25">
      <c r="C267" s="1" t="s">
        <v>100</v>
      </c>
      <c r="D267" s="1" t="s">
        <v>1319</v>
      </c>
      <c r="E267" s="1" t="s">
        <v>1297</v>
      </c>
    </row>
    <row r="268" spans="3:5" x14ac:dyDescent="0.25">
      <c r="C268" s="1" t="s">
        <v>100</v>
      </c>
      <c r="D268" s="1" t="s">
        <v>1324</v>
      </c>
      <c r="E268" s="1" t="s">
        <v>1297</v>
      </c>
    </row>
    <row r="269" spans="3:5" x14ac:dyDescent="0.25">
      <c r="C269" s="1" t="s">
        <v>100</v>
      </c>
      <c r="D269" s="1" t="s">
        <v>1328</v>
      </c>
      <c r="E269" s="1" t="s">
        <v>1297</v>
      </c>
    </row>
    <row r="270" spans="3:5" x14ac:dyDescent="0.25">
      <c r="C270" s="1" t="s">
        <v>100</v>
      </c>
      <c r="D270" s="1" t="s">
        <v>1418</v>
      </c>
      <c r="E270" s="1" t="s">
        <v>67</v>
      </c>
    </row>
    <row r="271" spans="3:5" x14ac:dyDescent="0.25">
      <c r="C271" s="1" t="s">
        <v>100</v>
      </c>
      <c r="D271" s="1" t="s">
        <v>1476</v>
      </c>
      <c r="E271" s="1" t="s">
        <v>834</v>
      </c>
    </row>
    <row r="272" spans="3:5" x14ac:dyDescent="0.25">
      <c r="C272" s="1" t="s">
        <v>100</v>
      </c>
      <c r="D272" s="1" t="s">
        <v>1509</v>
      </c>
      <c r="E272" s="1" t="s">
        <v>1497</v>
      </c>
    </row>
    <row r="273" spans="3:5" x14ac:dyDescent="0.25">
      <c r="C273" s="1" t="s">
        <v>100</v>
      </c>
      <c r="D273" s="1" t="s">
        <v>1513</v>
      </c>
      <c r="E273" s="1" t="s">
        <v>1497</v>
      </c>
    </row>
    <row r="274" spans="3:5" x14ac:dyDescent="0.25">
      <c r="C274" s="1" t="s">
        <v>100</v>
      </c>
      <c r="D274" s="1" t="s">
        <v>1910</v>
      </c>
      <c r="E274" s="1" t="s">
        <v>48</v>
      </c>
    </row>
    <row r="275" spans="3:5" x14ac:dyDescent="0.25">
      <c r="C275" s="1" t="s">
        <v>100</v>
      </c>
      <c r="D275" s="1" t="s">
        <v>1997</v>
      </c>
      <c r="E275" s="1" t="s">
        <v>48</v>
      </c>
    </row>
    <row r="276" spans="3:5" x14ac:dyDescent="0.25">
      <c r="C276" s="1" t="s">
        <v>100</v>
      </c>
      <c r="D276" s="1" t="s">
        <v>2002</v>
      </c>
      <c r="E276" s="1" t="s">
        <v>48</v>
      </c>
    </row>
    <row r="277" spans="3:5" x14ac:dyDescent="0.25">
      <c r="C277" s="1" t="s">
        <v>100</v>
      </c>
      <c r="D277" s="1" t="s">
        <v>2007</v>
      </c>
      <c r="E277" s="1" t="s">
        <v>48</v>
      </c>
    </row>
    <row r="278" spans="3:5" x14ac:dyDescent="0.25">
      <c r="C278" s="1" t="s">
        <v>187</v>
      </c>
      <c r="D278" s="1" t="s">
        <v>188</v>
      </c>
      <c r="E278" s="1" t="s">
        <v>146</v>
      </c>
    </row>
    <row r="279" spans="3:5" x14ac:dyDescent="0.25">
      <c r="C279" s="1" t="s">
        <v>187</v>
      </c>
      <c r="D279" s="1" t="s">
        <v>194</v>
      </c>
      <c r="E279" s="1" t="s">
        <v>146</v>
      </c>
    </row>
    <row r="280" spans="3:5" x14ac:dyDescent="0.25">
      <c r="C280" s="1" t="s">
        <v>187</v>
      </c>
      <c r="D280" s="1" t="s">
        <v>189</v>
      </c>
      <c r="E280" s="1" t="s">
        <v>146</v>
      </c>
    </row>
    <row r="281" spans="3:5" x14ac:dyDescent="0.25">
      <c r="C281" s="1" t="s">
        <v>187</v>
      </c>
      <c r="D281" s="1" t="s">
        <v>201</v>
      </c>
      <c r="E281" s="1" t="s">
        <v>146</v>
      </c>
    </row>
    <row r="282" spans="3:5" x14ac:dyDescent="0.25">
      <c r="C282" s="1" t="s">
        <v>187</v>
      </c>
      <c r="D282" s="1" t="s">
        <v>236</v>
      </c>
      <c r="E282" s="1" t="s">
        <v>208</v>
      </c>
    </row>
    <row r="283" spans="3:5" x14ac:dyDescent="0.25">
      <c r="C283" s="1" t="s">
        <v>187</v>
      </c>
      <c r="D283" s="1" t="s">
        <v>241</v>
      </c>
      <c r="E283" s="1" t="s">
        <v>208</v>
      </c>
    </row>
    <row r="284" spans="3:5" x14ac:dyDescent="0.25">
      <c r="C284" s="1" t="s">
        <v>187</v>
      </c>
      <c r="D284" s="1" t="s">
        <v>323</v>
      </c>
      <c r="E284" s="1" t="s">
        <v>254</v>
      </c>
    </row>
    <row r="285" spans="3:5" x14ac:dyDescent="0.25">
      <c r="C285" s="1" t="s">
        <v>187</v>
      </c>
      <c r="D285" s="1" t="s">
        <v>328</v>
      </c>
      <c r="E285" s="1" t="s">
        <v>254</v>
      </c>
    </row>
    <row r="286" spans="3:5" x14ac:dyDescent="0.25">
      <c r="C286" s="1" t="s">
        <v>187</v>
      </c>
      <c r="D286" s="1" t="s">
        <v>324</v>
      </c>
      <c r="E286" s="1" t="s">
        <v>254</v>
      </c>
    </row>
    <row r="287" spans="3:5" x14ac:dyDescent="0.25">
      <c r="C287" s="1" t="s">
        <v>187</v>
      </c>
      <c r="D287" s="1" t="s">
        <v>335</v>
      </c>
      <c r="E287" s="1" t="s">
        <v>254</v>
      </c>
    </row>
    <row r="288" spans="3:5" x14ac:dyDescent="0.25">
      <c r="C288" s="1" t="s">
        <v>187</v>
      </c>
      <c r="D288" s="1" t="s">
        <v>339</v>
      </c>
      <c r="E288" s="1" t="s">
        <v>254</v>
      </c>
    </row>
    <row r="289" spans="3:5" x14ac:dyDescent="0.25">
      <c r="C289" s="1" t="s">
        <v>187</v>
      </c>
      <c r="D289" s="1" t="s">
        <v>344</v>
      </c>
      <c r="E289" s="1" t="s">
        <v>254</v>
      </c>
    </row>
    <row r="290" spans="3:5" x14ac:dyDescent="0.25">
      <c r="C290" s="1" t="s">
        <v>187</v>
      </c>
      <c r="D290" s="1" t="s">
        <v>348</v>
      </c>
      <c r="E290" s="1" t="s">
        <v>254</v>
      </c>
    </row>
    <row r="291" spans="3:5" x14ac:dyDescent="0.25">
      <c r="C291" s="1" t="s">
        <v>187</v>
      </c>
      <c r="D291" s="1" t="s">
        <v>352</v>
      </c>
      <c r="E291" s="1" t="s">
        <v>254</v>
      </c>
    </row>
    <row r="292" spans="3:5" x14ac:dyDescent="0.25">
      <c r="C292" s="1" t="s">
        <v>187</v>
      </c>
      <c r="D292" s="1" t="s">
        <v>356</v>
      </c>
      <c r="E292" s="1" t="s">
        <v>254</v>
      </c>
    </row>
    <row r="293" spans="3:5" x14ac:dyDescent="0.25">
      <c r="C293" s="1" t="s">
        <v>187</v>
      </c>
      <c r="D293" s="1" t="s">
        <v>360</v>
      </c>
      <c r="E293" s="1" t="s">
        <v>254</v>
      </c>
    </row>
    <row r="294" spans="3:5" x14ac:dyDescent="0.25">
      <c r="C294" s="1" t="s">
        <v>187</v>
      </c>
      <c r="D294" s="1" t="s">
        <v>364</v>
      </c>
      <c r="E294" s="1" t="s">
        <v>254</v>
      </c>
    </row>
    <row r="295" spans="3:5" x14ac:dyDescent="0.25">
      <c r="C295" s="1" t="s">
        <v>187</v>
      </c>
      <c r="D295" s="1" t="s">
        <v>368</v>
      </c>
      <c r="E295" s="1" t="s">
        <v>254</v>
      </c>
    </row>
    <row r="296" spans="3:5" x14ac:dyDescent="0.25">
      <c r="C296" s="1" t="s">
        <v>187</v>
      </c>
      <c r="D296" s="1" t="s">
        <v>372</v>
      </c>
      <c r="E296" s="1" t="s">
        <v>254</v>
      </c>
    </row>
    <row r="297" spans="3:5" x14ac:dyDescent="0.25">
      <c r="C297" s="1" t="s">
        <v>187</v>
      </c>
      <c r="D297" s="1" t="s">
        <v>411</v>
      </c>
      <c r="E297" s="1" t="s">
        <v>395</v>
      </c>
    </row>
    <row r="298" spans="3:5" x14ac:dyDescent="0.25">
      <c r="C298" s="1" t="s">
        <v>187</v>
      </c>
      <c r="D298" s="1" t="s">
        <v>415</v>
      </c>
      <c r="E298" s="1" t="s">
        <v>395</v>
      </c>
    </row>
    <row r="299" spans="3:5" x14ac:dyDescent="0.25">
      <c r="C299" s="1" t="s">
        <v>187</v>
      </c>
      <c r="D299" s="1" t="s">
        <v>420</v>
      </c>
      <c r="E299" s="1" t="s">
        <v>395</v>
      </c>
    </row>
    <row r="300" spans="3:5" x14ac:dyDescent="0.25">
      <c r="C300" s="1" t="s">
        <v>187</v>
      </c>
      <c r="D300" s="1" t="s">
        <v>425</v>
      </c>
      <c r="E300" s="1" t="s">
        <v>395</v>
      </c>
    </row>
    <row r="301" spans="3:5" x14ac:dyDescent="0.25">
      <c r="C301" s="1" t="s">
        <v>187</v>
      </c>
      <c r="D301" s="1" t="s">
        <v>430</v>
      </c>
      <c r="E301" s="1" t="s">
        <v>395</v>
      </c>
    </row>
    <row r="302" spans="3:5" x14ac:dyDescent="0.25">
      <c r="C302" s="1" t="s">
        <v>187</v>
      </c>
      <c r="D302" s="1" t="s">
        <v>433</v>
      </c>
      <c r="E302" s="1" t="s">
        <v>395</v>
      </c>
    </row>
    <row r="303" spans="3:5" x14ac:dyDescent="0.25">
      <c r="C303" s="1" t="s">
        <v>187</v>
      </c>
      <c r="D303" s="1" t="s">
        <v>459</v>
      </c>
      <c r="E303" s="1" t="s">
        <v>442</v>
      </c>
    </row>
    <row r="304" spans="3:5" x14ac:dyDescent="0.25">
      <c r="C304" s="1" t="s">
        <v>187</v>
      </c>
      <c r="D304" s="1" t="s">
        <v>464</v>
      </c>
      <c r="E304" s="1" t="s">
        <v>465</v>
      </c>
    </row>
    <row r="305" spans="3:5" x14ac:dyDescent="0.25">
      <c r="C305" s="1" t="s">
        <v>187</v>
      </c>
      <c r="D305" s="1" t="s">
        <v>470</v>
      </c>
      <c r="E305" s="1" t="s">
        <v>442</v>
      </c>
    </row>
    <row r="306" spans="3:5" x14ac:dyDescent="0.25">
      <c r="C306" s="1" t="s">
        <v>187</v>
      </c>
      <c r="D306" s="1" t="s">
        <v>473</v>
      </c>
      <c r="E306" s="1" t="s">
        <v>442</v>
      </c>
    </row>
    <row r="307" spans="3:5" x14ac:dyDescent="0.25">
      <c r="C307" s="1" t="s">
        <v>187</v>
      </c>
      <c r="D307" s="1" t="s">
        <v>430</v>
      </c>
      <c r="E307" s="1" t="s">
        <v>442</v>
      </c>
    </row>
    <row r="308" spans="3:5" x14ac:dyDescent="0.25">
      <c r="C308" s="1" t="s">
        <v>187</v>
      </c>
      <c r="D308" s="1" t="s">
        <v>480</v>
      </c>
      <c r="E308" s="1" t="s">
        <v>442</v>
      </c>
    </row>
    <row r="309" spans="3:5" x14ac:dyDescent="0.25">
      <c r="C309" s="1" t="s">
        <v>187</v>
      </c>
      <c r="D309" s="1" t="s">
        <v>483</v>
      </c>
      <c r="E309" s="1" t="s">
        <v>442</v>
      </c>
    </row>
    <row r="310" spans="3:5" x14ac:dyDescent="0.25">
      <c r="C310" s="1" t="s">
        <v>187</v>
      </c>
      <c r="D310" s="1" t="s">
        <v>566</v>
      </c>
      <c r="E310" s="1" t="s">
        <v>567</v>
      </c>
    </row>
    <row r="311" spans="3:5" x14ac:dyDescent="0.25">
      <c r="C311" s="1" t="s">
        <v>187</v>
      </c>
      <c r="D311" s="1" t="s">
        <v>602</v>
      </c>
      <c r="E311" s="1" t="s">
        <v>585</v>
      </c>
    </row>
    <row r="312" spans="3:5" x14ac:dyDescent="0.25">
      <c r="C312" s="1" t="s">
        <v>187</v>
      </c>
      <c r="D312" s="1" t="s">
        <v>606</v>
      </c>
      <c r="E312" s="1" t="s">
        <v>585</v>
      </c>
    </row>
    <row r="313" spans="3:5" x14ac:dyDescent="0.25">
      <c r="C313" s="1" t="s">
        <v>187</v>
      </c>
      <c r="D313" s="1" t="s">
        <v>643</v>
      </c>
      <c r="E313" s="1" t="s">
        <v>620</v>
      </c>
    </row>
    <row r="314" spans="3:5" x14ac:dyDescent="0.25">
      <c r="C314" s="1" t="s">
        <v>187</v>
      </c>
      <c r="D314" s="1" t="s">
        <v>648</v>
      </c>
      <c r="E314" s="1" t="s">
        <v>620</v>
      </c>
    </row>
    <row r="315" spans="3:5" x14ac:dyDescent="0.25">
      <c r="C315" s="1" t="s">
        <v>187</v>
      </c>
      <c r="D315" s="1" t="s">
        <v>357</v>
      </c>
      <c r="E315" s="1" t="s">
        <v>620</v>
      </c>
    </row>
    <row r="316" spans="3:5" x14ac:dyDescent="0.25">
      <c r="C316" s="1" t="s">
        <v>187</v>
      </c>
      <c r="D316" s="1" t="s">
        <v>658</v>
      </c>
      <c r="E316" s="1" t="s">
        <v>620</v>
      </c>
    </row>
    <row r="317" spans="3:5" x14ac:dyDescent="0.25">
      <c r="C317" s="1" t="s">
        <v>187</v>
      </c>
      <c r="D317" s="1" t="s">
        <v>663</v>
      </c>
      <c r="E317" s="1" t="s">
        <v>620</v>
      </c>
    </row>
    <row r="318" spans="3:5" x14ac:dyDescent="0.25">
      <c r="C318" s="1" t="s">
        <v>187</v>
      </c>
      <c r="D318" s="1" t="s">
        <v>669</v>
      </c>
      <c r="E318" s="1" t="s">
        <v>670</v>
      </c>
    </row>
    <row r="319" spans="3:5" x14ac:dyDescent="0.25">
      <c r="C319" s="1" t="s">
        <v>187</v>
      </c>
      <c r="D319" s="1" t="s">
        <v>677</v>
      </c>
      <c r="E319" s="1" t="s">
        <v>620</v>
      </c>
    </row>
    <row r="320" spans="3:5" x14ac:dyDescent="0.25">
      <c r="C320" s="1" t="s">
        <v>187</v>
      </c>
      <c r="D320" s="1" t="s">
        <v>671</v>
      </c>
      <c r="E320" s="1" t="s">
        <v>670</v>
      </c>
    </row>
    <row r="321" spans="3:5" x14ac:dyDescent="0.25">
      <c r="C321" s="1" t="s">
        <v>187</v>
      </c>
      <c r="D321" s="1" t="s">
        <v>713</v>
      </c>
      <c r="E321" s="1" t="s">
        <v>146</v>
      </c>
    </row>
    <row r="322" spans="3:5" x14ac:dyDescent="0.25">
      <c r="C322" s="1" t="s">
        <v>187</v>
      </c>
      <c r="D322" s="1" t="s">
        <v>718</v>
      </c>
      <c r="E322" s="1" t="s">
        <v>146</v>
      </c>
    </row>
    <row r="323" spans="3:5" x14ac:dyDescent="0.25">
      <c r="C323" s="1" t="s">
        <v>187</v>
      </c>
      <c r="D323" s="1" t="s">
        <v>828</v>
      </c>
      <c r="E323" s="1" t="s">
        <v>442</v>
      </c>
    </row>
    <row r="324" spans="3:5" x14ac:dyDescent="0.25">
      <c r="C324" s="1" t="s">
        <v>187</v>
      </c>
      <c r="D324" s="1" t="s">
        <v>870</v>
      </c>
      <c r="E324" s="1" t="s">
        <v>834</v>
      </c>
    </row>
    <row r="325" spans="3:5" x14ac:dyDescent="0.25">
      <c r="C325" s="1" t="s">
        <v>187</v>
      </c>
      <c r="D325" s="1" t="s">
        <v>875</v>
      </c>
      <c r="E325" s="1" t="s">
        <v>834</v>
      </c>
    </row>
    <row r="326" spans="3:5" x14ac:dyDescent="0.25">
      <c r="C326" s="1" t="s">
        <v>187</v>
      </c>
      <c r="D326" s="1" t="s">
        <v>881</v>
      </c>
      <c r="E326" s="1" t="s">
        <v>834</v>
      </c>
    </row>
    <row r="327" spans="3:5" x14ac:dyDescent="0.25">
      <c r="C327" s="1" t="s">
        <v>187</v>
      </c>
      <c r="D327" s="1" t="s">
        <v>886</v>
      </c>
      <c r="E327" s="1" t="s">
        <v>834</v>
      </c>
    </row>
    <row r="328" spans="3:5" x14ac:dyDescent="0.25">
      <c r="C328" s="1" t="s">
        <v>187</v>
      </c>
      <c r="D328" s="1" t="s">
        <v>966</v>
      </c>
      <c r="E328" s="1" t="s">
        <v>897</v>
      </c>
    </row>
    <row r="329" spans="3:5" x14ac:dyDescent="0.25">
      <c r="C329" s="1" t="s">
        <v>187</v>
      </c>
      <c r="D329" s="1" t="s">
        <v>971</v>
      </c>
      <c r="E329" s="1" t="s">
        <v>585</v>
      </c>
    </row>
    <row r="330" spans="3:5" x14ac:dyDescent="0.25">
      <c r="C330" s="1" t="s">
        <v>187</v>
      </c>
      <c r="D330" s="1" t="s">
        <v>976</v>
      </c>
      <c r="E330" s="1" t="s">
        <v>897</v>
      </c>
    </row>
    <row r="331" spans="3:5" x14ac:dyDescent="0.25">
      <c r="C331" s="1" t="s">
        <v>187</v>
      </c>
      <c r="D331" s="1" t="s">
        <v>981</v>
      </c>
      <c r="E331" s="1" t="s">
        <v>897</v>
      </c>
    </row>
    <row r="332" spans="3:5" x14ac:dyDescent="0.25">
      <c r="C332" s="1" t="s">
        <v>187</v>
      </c>
      <c r="D332" s="1" t="s">
        <v>985</v>
      </c>
      <c r="E332" s="1" t="s">
        <v>897</v>
      </c>
    </row>
    <row r="333" spans="3:5" x14ac:dyDescent="0.25">
      <c r="C333" s="1" t="s">
        <v>187</v>
      </c>
      <c r="D333" s="1" t="s">
        <v>990</v>
      </c>
      <c r="E333" s="1" t="s">
        <v>897</v>
      </c>
    </row>
    <row r="334" spans="3:5" x14ac:dyDescent="0.25">
      <c r="C334" s="1" t="s">
        <v>187</v>
      </c>
      <c r="D334" s="1" t="s">
        <v>994</v>
      </c>
      <c r="E334" s="1" t="s">
        <v>897</v>
      </c>
    </row>
    <row r="335" spans="3:5" x14ac:dyDescent="0.25">
      <c r="C335" s="1" t="s">
        <v>187</v>
      </c>
      <c r="D335" s="1" t="s">
        <v>998</v>
      </c>
      <c r="E335" s="1" t="s">
        <v>48</v>
      </c>
    </row>
    <row r="336" spans="3:5" x14ac:dyDescent="0.25">
      <c r="C336" s="1" t="s">
        <v>187</v>
      </c>
      <c r="D336" s="1" t="s">
        <v>1116</v>
      </c>
      <c r="E336" s="1" t="s">
        <v>465</v>
      </c>
    </row>
    <row r="337" spans="3:5" x14ac:dyDescent="0.25">
      <c r="C337" s="1" t="s">
        <v>187</v>
      </c>
      <c r="D337" s="1" t="s">
        <v>1121</v>
      </c>
      <c r="E337" s="1" t="s">
        <v>465</v>
      </c>
    </row>
    <row r="338" spans="3:5" x14ac:dyDescent="0.25">
      <c r="C338" s="1" t="s">
        <v>187</v>
      </c>
      <c r="D338" s="1" t="s">
        <v>1126</v>
      </c>
      <c r="E338" s="1" t="s">
        <v>465</v>
      </c>
    </row>
    <row r="339" spans="3:5" x14ac:dyDescent="0.25">
      <c r="C339" s="1" t="s">
        <v>187</v>
      </c>
      <c r="D339" s="1" t="s">
        <v>1130</v>
      </c>
      <c r="E339" s="1" t="s">
        <v>465</v>
      </c>
    </row>
    <row r="340" spans="3:5" x14ac:dyDescent="0.25">
      <c r="C340" s="1" t="s">
        <v>187</v>
      </c>
      <c r="D340" s="1" t="s">
        <v>1134</v>
      </c>
      <c r="E340" s="1" t="s">
        <v>465</v>
      </c>
    </row>
    <row r="341" spans="3:5" x14ac:dyDescent="0.25">
      <c r="C341" s="1" t="s">
        <v>187</v>
      </c>
      <c r="D341" s="1" t="s">
        <v>1139</v>
      </c>
      <c r="E341" s="1" t="s">
        <v>465</v>
      </c>
    </row>
    <row r="342" spans="3:5" x14ac:dyDescent="0.25">
      <c r="C342" s="1" t="s">
        <v>187</v>
      </c>
      <c r="D342" s="1" t="s">
        <v>1144</v>
      </c>
      <c r="E342" s="1" t="s">
        <v>465</v>
      </c>
    </row>
    <row r="343" spans="3:5" x14ac:dyDescent="0.25">
      <c r="C343" s="1" t="s">
        <v>187</v>
      </c>
      <c r="D343" s="1" t="s">
        <v>1117</v>
      </c>
      <c r="E343" s="1" t="s">
        <v>465</v>
      </c>
    </row>
    <row r="344" spans="3:5" x14ac:dyDescent="0.25">
      <c r="C344" s="1" t="s">
        <v>187</v>
      </c>
      <c r="D344" s="1" t="s">
        <v>1140</v>
      </c>
      <c r="E344" s="1" t="s">
        <v>465</v>
      </c>
    </row>
    <row r="345" spans="3:5" x14ac:dyDescent="0.25">
      <c r="C345" s="1" t="s">
        <v>187</v>
      </c>
      <c r="D345" s="1" t="s">
        <v>1155</v>
      </c>
      <c r="E345" s="1" t="s">
        <v>465</v>
      </c>
    </row>
    <row r="346" spans="3:5" x14ac:dyDescent="0.25">
      <c r="C346" s="1" t="s">
        <v>187</v>
      </c>
      <c r="D346" s="1" t="s">
        <v>1808</v>
      </c>
      <c r="E346" s="1" t="s">
        <v>1716</v>
      </c>
    </row>
    <row r="347" spans="3:5" x14ac:dyDescent="0.25">
      <c r="C347" s="1" t="s">
        <v>187</v>
      </c>
      <c r="D347" s="1" t="s">
        <v>1812</v>
      </c>
      <c r="E347" s="1" t="s">
        <v>1716</v>
      </c>
    </row>
    <row r="348" spans="3:5" x14ac:dyDescent="0.25">
      <c r="C348" s="1" t="s">
        <v>187</v>
      </c>
      <c r="D348" s="1" t="s">
        <v>1816</v>
      </c>
      <c r="E348" s="1" t="s">
        <v>442</v>
      </c>
    </row>
    <row r="349" spans="3:5" x14ac:dyDescent="0.25">
      <c r="C349" s="1" t="s">
        <v>187</v>
      </c>
      <c r="D349" s="1" t="s">
        <v>1820</v>
      </c>
      <c r="E349" s="1" t="s">
        <v>1716</v>
      </c>
    </row>
    <row r="350" spans="3:5" x14ac:dyDescent="0.25">
      <c r="C350" s="1" t="s">
        <v>187</v>
      </c>
      <c r="D350" s="1" t="s">
        <v>1825</v>
      </c>
      <c r="E350" s="1" t="s">
        <v>1716</v>
      </c>
    </row>
    <row r="351" spans="3:5" x14ac:dyDescent="0.25">
      <c r="C351" s="1" t="s">
        <v>187</v>
      </c>
      <c r="D351" s="1" t="s">
        <v>1239</v>
      </c>
      <c r="E351" s="1" t="s">
        <v>567</v>
      </c>
    </row>
    <row r="352" spans="3:5" x14ac:dyDescent="0.25">
      <c r="C352" s="1" t="s">
        <v>187</v>
      </c>
      <c r="D352" s="1" t="s">
        <v>1244</v>
      </c>
      <c r="E352" s="1" t="s">
        <v>567</v>
      </c>
    </row>
    <row r="353" spans="3:5" x14ac:dyDescent="0.25">
      <c r="C353" s="1" t="s">
        <v>187</v>
      </c>
      <c r="D353" s="1" t="s">
        <v>1274</v>
      </c>
      <c r="E353" s="1" t="s">
        <v>1251</v>
      </c>
    </row>
    <row r="354" spans="3:5" x14ac:dyDescent="0.25">
      <c r="C354" s="1" t="s">
        <v>187</v>
      </c>
      <c r="D354" s="1" t="s">
        <v>1333</v>
      </c>
      <c r="E354" s="1" t="s">
        <v>1297</v>
      </c>
    </row>
    <row r="355" spans="3:5" x14ac:dyDescent="0.25">
      <c r="C355" s="1" t="s">
        <v>187</v>
      </c>
      <c r="D355" s="1" t="s">
        <v>1337</v>
      </c>
      <c r="E355" s="1" t="s">
        <v>1297</v>
      </c>
    </row>
    <row r="356" spans="3:5" x14ac:dyDescent="0.25">
      <c r="C356" s="1" t="s">
        <v>187</v>
      </c>
      <c r="D356" s="1" t="s">
        <v>1342</v>
      </c>
      <c r="E356" s="1" t="s">
        <v>1297</v>
      </c>
    </row>
    <row r="357" spans="3:5" x14ac:dyDescent="0.25">
      <c r="C357" s="1" t="s">
        <v>187</v>
      </c>
      <c r="D357" s="1" t="s">
        <v>542</v>
      </c>
      <c r="E357" s="1" t="s">
        <v>1297</v>
      </c>
    </row>
    <row r="358" spans="3:5" x14ac:dyDescent="0.25">
      <c r="C358" s="1" t="s">
        <v>187</v>
      </c>
      <c r="D358" s="1" t="s">
        <v>1351</v>
      </c>
      <c r="E358" s="1" t="s">
        <v>1297</v>
      </c>
    </row>
    <row r="359" spans="3:5" x14ac:dyDescent="0.25">
      <c r="C359" s="1" t="s">
        <v>187</v>
      </c>
      <c r="D359" s="1" t="s">
        <v>1355</v>
      </c>
      <c r="E359" s="1" t="s">
        <v>1297</v>
      </c>
    </row>
    <row r="360" spans="3:5" x14ac:dyDescent="0.25">
      <c r="C360" s="1" t="s">
        <v>187</v>
      </c>
      <c r="D360" s="1" t="s">
        <v>1424</v>
      </c>
      <c r="E360" s="1" t="s">
        <v>67</v>
      </c>
    </row>
    <row r="361" spans="3:5" x14ac:dyDescent="0.25">
      <c r="C361" s="1" t="s">
        <v>187</v>
      </c>
      <c r="D361" s="1" t="s">
        <v>1428</v>
      </c>
      <c r="E361" s="1" t="s">
        <v>67</v>
      </c>
    </row>
    <row r="362" spans="3:5" x14ac:dyDescent="0.25">
      <c r="C362" s="1" t="s">
        <v>187</v>
      </c>
      <c r="D362" s="1" t="s">
        <v>1429</v>
      </c>
      <c r="E362" s="1" t="s">
        <v>67</v>
      </c>
    </row>
    <row r="363" spans="3:5" x14ac:dyDescent="0.25">
      <c r="C363" s="1" t="s">
        <v>187</v>
      </c>
      <c r="D363" s="1" t="s">
        <v>1436</v>
      </c>
      <c r="E363" s="1" t="s">
        <v>67</v>
      </c>
    </row>
    <row r="364" spans="3:5" x14ac:dyDescent="0.25">
      <c r="C364" s="1" t="s">
        <v>187</v>
      </c>
      <c r="D364" s="1" t="s">
        <v>1440</v>
      </c>
      <c r="E364" s="1" t="s">
        <v>67</v>
      </c>
    </row>
    <row r="365" spans="3:5" x14ac:dyDescent="0.25">
      <c r="C365" s="1" t="s">
        <v>187</v>
      </c>
      <c r="D365" s="1" t="s">
        <v>1419</v>
      </c>
      <c r="E365" s="1" t="s">
        <v>67</v>
      </c>
    </row>
    <row r="366" spans="3:5" x14ac:dyDescent="0.25">
      <c r="C366" s="1" t="s">
        <v>187</v>
      </c>
      <c r="D366" s="1" t="s">
        <v>1447</v>
      </c>
      <c r="E366" s="1" t="s">
        <v>67</v>
      </c>
    </row>
    <row r="367" spans="3:5" x14ac:dyDescent="0.25">
      <c r="C367" s="1" t="s">
        <v>187</v>
      </c>
      <c r="D367" s="1" t="s">
        <v>1452</v>
      </c>
      <c r="E367" s="1" t="s">
        <v>67</v>
      </c>
    </row>
    <row r="368" spans="3:5" x14ac:dyDescent="0.25">
      <c r="C368" s="1" t="s">
        <v>187</v>
      </c>
      <c r="D368" s="1" t="s">
        <v>1480</v>
      </c>
      <c r="E368" s="1" t="s">
        <v>834</v>
      </c>
    </row>
    <row r="369" spans="3:5" x14ac:dyDescent="0.25">
      <c r="C369" s="1" t="s">
        <v>187</v>
      </c>
      <c r="D369" s="1" t="s">
        <v>1484</v>
      </c>
      <c r="E369" s="1" t="s">
        <v>834</v>
      </c>
    </row>
    <row r="370" spans="3:5" x14ac:dyDescent="0.25">
      <c r="C370" s="1" t="s">
        <v>187</v>
      </c>
      <c r="D370" s="1" t="s">
        <v>1517</v>
      </c>
      <c r="E370" s="1" t="s">
        <v>1497</v>
      </c>
    </row>
    <row r="371" spans="3:5" x14ac:dyDescent="0.25">
      <c r="C371" s="1" t="s">
        <v>187</v>
      </c>
      <c r="D371" s="1" t="s">
        <v>1553</v>
      </c>
      <c r="E371" s="1" t="s">
        <v>670</v>
      </c>
    </row>
    <row r="372" spans="3:5" x14ac:dyDescent="0.25">
      <c r="C372" s="1" t="s">
        <v>187</v>
      </c>
      <c r="D372" s="1" t="s">
        <v>1557</v>
      </c>
      <c r="E372" s="1" t="s">
        <v>670</v>
      </c>
    </row>
    <row r="373" spans="3:5" x14ac:dyDescent="0.25">
      <c r="C373" s="1" t="s">
        <v>187</v>
      </c>
      <c r="D373" s="1" t="s">
        <v>1561</v>
      </c>
      <c r="E373" s="1" t="s">
        <v>670</v>
      </c>
    </row>
    <row r="374" spans="3:5" x14ac:dyDescent="0.25">
      <c r="C374" s="1" t="s">
        <v>187</v>
      </c>
      <c r="D374" s="1" t="s">
        <v>1572</v>
      </c>
      <c r="E374" s="1" t="s">
        <v>1567</v>
      </c>
    </row>
    <row r="375" spans="3:5" x14ac:dyDescent="0.25">
      <c r="C375" s="1" t="s">
        <v>187</v>
      </c>
      <c r="D375" s="1" t="s">
        <v>1575</v>
      </c>
      <c r="E375" s="1" t="s">
        <v>1567</v>
      </c>
    </row>
    <row r="376" spans="3:5" x14ac:dyDescent="0.25">
      <c r="C376" s="1" t="s">
        <v>187</v>
      </c>
      <c r="D376" s="1" t="s">
        <v>1578</v>
      </c>
      <c r="E376" s="1" t="s">
        <v>1567</v>
      </c>
    </row>
    <row r="377" spans="3:5" x14ac:dyDescent="0.25">
      <c r="C377" s="1" t="s">
        <v>187</v>
      </c>
      <c r="D377" s="1" t="s">
        <v>1590</v>
      </c>
      <c r="E377" s="1" t="s">
        <v>1584</v>
      </c>
    </row>
    <row r="378" spans="3:5" x14ac:dyDescent="0.25">
      <c r="C378" s="1" t="s">
        <v>187</v>
      </c>
      <c r="D378" s="1" t="s">
        <v>1595</v>
      </c>
      <c r="E378" s="1" t="s">
        <v>1584</v>
      </c>
    </row>
    <row r="379" spans="3:5" x14ac:dyDescent="0.25">
      <c r="C379" s="1" t="s">
        <v>187</v>
      </c>
      <c r="D379" s="1" t="s">
        <v>1599</v>
      </c>
      <c r="E379" s="1" t="s">
        <v>1584</v>
      </c>
    </row>
    <row r="380" spans="3:5" x14ac:dyDescent="0.25">
      <c r="C380" s="1" t="s">
        <v>187</v>
      </c>
      <c r="D380" s="1" t="s">
        <v>1603</v>
      </c>
      <c r="E380" s="1" t="s">
        <v>1183</v>
      </c>
    </row>
    <row r="381" spans="3:5" x14ac:dyDescent="0.25">
      <c r="C381" s="1" t="s">
        <v>187</v>
      </c>
      <c r="D381" s="1" t="s">
        <v>1709</v>
      </c>
      <c r="E381" s="1" t="s">
        <v>48</v>
      </c>
    </row>
    <row r="382" spans="3:5" x14ac:dyDescent="0.25">
      <c r="C382" s="1" t="s">
        <v>187</v>
      </c>
      <c r="D382" s="1" t="s">
        <v>1914</v>
      </c>
      <c r="E382" s="1" t="s">
        <v>48</v>
      </c>
    </row>
    <row r="383" spans="3:5" x14ac:dyDescent="0.25">
      <c r="C383" s="1" t="s">
        <v>187</v>
      </c>
      <c r="D383" s="1" t="s">
        <v>1886</v>
      </c>
      <c r="E383" s="1" t="s">
        <v>48</v>
      </c>
    </row>
    <row r="384" spans="3:5" x14ac:dyDescent="0.25">
      <c r="C384" s="1" t="s">
        <v>187</v>
      </c>
      <c r="D384" s="1" t="s">
        <v>2012</v>
      </c>
      <c r="E384" s="1" t="s">
        <v>48</v>
      </c>
    </row>
    <row r="385" spans="3:5" x14ac:dyDescent="0.25">
      <c r="C385" s="1" t="s">
        <v>187</v>
      </c>
      <c r="D385" s="1" t="s">
        <v>2016</v>
      </c>
      <c r="E385" s="1" t="s">
        <v>48</v>
      </c>
    </row>
    <row r="386" spans="3:5" x14ac:dyDescent="0.25">
      <c r="C386" s="1" t="s">
        <v>187</v>
      </c>
      <c r="D386" s="1" t="s">
        <v>2019</v>
      </c>
      <c r="E386" s="1" t="s">
        <v>48</v>
      </c>
    </row>
    <row r="387" spans="3:5" x14ac:dyDescent="0.25">
      <c r="C387" s="1" t="s">
        <v>116</v>
      </c>
      <c r="D387" s="1" t="s">
        <v>117</v>
      </c>
      <c r="E387" s="1" t="s">
        <v>78</v>
      </c>
    </row>
    <row r="388" spans="3:5" x14ac:dyDescent="0.25">
      <c r="C388" s="1" t="s">
        <v>116</v>
      </c>
      <c r="D388" s="1" t="s">
        <v>123</v>
      </c>
      <c r="E388" s="1" t="s">
        <v>78</v>
      </c>
    </row>
    <row r="389" spans="3:5" x14ac:dyDescent="0.25">
      <c r="C389" s="1" t="s">
        <v>116</v>
      </c>
      <c r="D389" s="1" t="s">
        <v>128</v>
      </c>
      <c r="E389" s="1" t="s">
        <v>78</v>
      </c>
    </row>
    <row r="390" spans="3:5" x14ac:dyDescent="0.25">
      <c r="C390" s="1" t="s">
        <v>116</v>
      </c>
      <c r="D390" s="1" t="s">
        <v>132</v>
      </c>
      <c r="E390" s="1" t="s">
        <v>78</v>
      </c>
    </row>
    <row r="391" spans="3:5" x14ac:dyDescent="0.25">
      <c r="C391" s="1" t="s">
        <v>116</v>
      </c>
      <c r="D391" s="1" t="s">
        <v>136</v>
      </c>
      <c r="E391" s="1" t="s">
        <v>78</v>
      </c>
    </row>
    <row r="392" spans="3:5" x14ac:dyDescent="0.25">
      <c r="C392" s="1" t="s">
        <v>116</v>
      </c>
      <c r="D392" s="1" t="s">
        <v>245</v>
      </c>
      <c r="E392" s="1" t="s">
        <v>208</v>
      </c>
    </row>
    <row r="393" spans="3:5" x14ac:dyDescent="0.25">
      <c r="C393" s="1" t="s">
        <v>116</v>
      </c>
      <c r="D393" s="1" t="s">
        <v>377</v>
      </c>
      <c r="E393" s="1" t="s">
        <v>254</v>
      </c>
    </row>
    <row r="394" spans="3:5" x14ac:dyDescent="0.25">
      <c r="C394" s="1" t="s">
        <v>116</v>
      </c>
      <c r="D394" s="1" t="s">
        <v>384</v>
      </c>
      <c r="E394" s="1" t="s">
        <v>254</v>
      </c>
    </row>
    <row r="395" spans="3:5" x14ac:dyDescent="0.25">
      <c r="C395" s="1" t="s">
        <v>116</v>
      </c>
      <c r="D395" s="1" t="s">
        <v>389</v>
      </c>
      <c r="E395" s="1" t="s">
        <v>254</v>
      </c>
    </row>
    <row r="396" spans="3:5" x14ac:dyDescent="0.25">
      <c r="C396" s="1" t="s">
        <v>116</v>
      </c>
      <c r="D396" s="1" t="s">
        <v>436</v>
      </c>
      <c r="E396" s="1" t="s">
        <v>395</v>
      </c>
    </row>
    <row r="397" spans="3:5" x14ac:dyDescent="0.25">
      <c r="C397" s="1" t="s">
        <v>116</v>
      </c>
      <c r="D397" s="1" t="s">
        <v>460</v>
      </c>
      <c r="E397" s="1" t="s">
        <v>442</v>
      </c>
    </row>
    <row r="398" spans="3:5" x14ac:dyDescent="0.25">
      <c r="C398" s="1" t="s">
        <v>116</v>
      </c>
      <c r="D398" s="1" t="s">
        <v>573</v>
      </c>
      <c r="E398" s="1" t="s">
        <v>493</v>
      </c>
    </row>
    <row r="399" spans="3:5" x14ac:dyDescent="0.25">
      <c r="C399" s="1" t="s">
        <v>116</v>
      </c>
      <c r="D399" s="1" t="s">
        <v>578</v>
      </c>
      <c r="E399" s="1" t="s">
        <v>493</v>
      </c>
    </row>
    <row r="400" spans="3:5" x14ac:dyDescent="0.25">
      <c r="C400" s="1" t="s">
        <v>116</v>
      </c>
      <c r="D400" s="1" t="s">
        <v>610</v>
      </c>
      <c r="E400" s="1" t="s">
        <v>585</v>
      </c>
    </row>
    <row r="401" spans="3:5" x14ac:dyDescent="0.25">
      <c r="C401" s="1" t="s">
        <v>116</v>
      </c>
      <c r="D401" s="1" t="s">
        <v>615</v>
      </c>
      <c r="E401" s="1" t="s">
        <v>585</v>
      </c>
    </row>
    <row r="402" spans="3:5" x14ac:dyDescent="0.25">
      <c r="C402" s="1" t="s">
        <v>116</v>
      </c>
      <c r="D402" s="1" t="s">
        <v>672</v>
      </c>
      <c r="E402" s="1" t="s">
        <v>670</v>
      </c>
    </row>
    <row r="403" spans="3:5" x14ac:dyDescent="0.25">
      <c r="C403" s="1" t="s">
        <v>116</v>
      </c>
      <c r="D403" s="1" t="s">
        <v>789</v>
      </c>
      <c r="E403" s="1" t="s">
        <v>727</v>
      </c>
    </row>
    <row r="404" spans="3:5" x14ac:dyDescent="0.25">
      <c r="C404" s="1" t="s">
        <v>116</v>
      </c>
      <c r="D404" s="1" t="s">
        <v>796</v>
      </c>
      <c r="E404" s="1" t="s">
        <v>395</v>
      </c>
    </row>
    <row r="405" spans="3:5" x14ac:dyDescent="0.25">
      <c r="C405" s="1" t="s">
        <v>116</v>
      </c>
      <c r="D405" s="1" t="s">
        <v>800</v>
      </c>
      <c r="E405" s="1" t="s">
        <v>727</v>
      </c>
    </row>
    <row r="406" spans="3:5" x14ac:dyDescent="0.25">
      <c r="C406" s="1" t="s">
        <v>116</v>
      </c>
      <c r="D406" s="1" t="s">
        <v>804</v>
      </c>
      <c r="E406" s="1" t="s">
        <v>727</v>
      </c>
    </row>
    <row r="407" spans="3:5" x14ac:dyDescent="0.25">
      <c r="C407" s="1" t="s">
        <v>116</v>
      </c>
      <c r="D407" s="1" t="s">
        <v>808</v>
      </c>
      <c r="E407" s="1" t="s">
        <v>727</v>
      </c>
    </row>
    <row r="408" spans="3:5" x14ac:dyDescent="0.25">
      <c r="C408" s="1" t="s">
        <v>116</v>
      </c>
      <c r="D408" s="1" t="s">
        <v>812</v>
      </c>
      <c r="E408" s="1" t="s">
        <v>727</v>
      </c>
    </row>
    <row r="409" spans="3:5" x14ac:dyDescent="0.25">
      <c r="C409" s="1" t="s">
        <v>116</v>
      </c>
      <c r="D409" s="1" t="s">
        <v>890</v>
      </c>
      <c r="E409" s="1" t="s">
        <v>834</v>
      </c>
    </row>
    <row r="410" spans="3:5" x14ac:dyDescent="0.25">
      <c r="C410" s="1" t="s">
        <v>116</v>
      </c>
      <c r="D410" s="1" t="s">
        <v>1004</v>
      </c>
      <c r="E410" s="1" t="s">
        <v>897</v>
      </c>
    </row>
    <row r="411" spans="3:5" x14ac:dyDescent="0.25">
      <c r="C411" s="1" t="s">
        <v>116</v>
      </c>
      <c r="D411" s="1" t="s">
        <v>1160</v>
      </c>
      <c r="E411" s="1" t="s">
        <v>465</v>
      </c>
    </row>
    <row r="412" spans="3:5" x14ac:dyDescent="0.25">
      <c r="C412" s="1" t="s">
        <v>116</v>
      </c>
      <c r="D412" s="1" t="s">
        <v>1156</v>
      </c>
      <c r="E412" s="1" t="s">
        <v>465</v>
      </c>
    </row>
    <row r="413" spans="3:5" x14ac:dyDescent="0.25">
      <c r="C413" s="1" t="s">
        <v>116</v>
      </c>
      <c r="D413" s="1" t="s">
        <v>1168</v>
      </c>
      <c r="E413" s="1" t="s">
        <v>465</v>
      </c>
    </row>
    <row r="414" spans="3:5" x14ac:dyDescent="0.25">
      <c r="C414" s="1" t="s">
        <v>116</v>
      </c>
      <c r="D414" s="1" t="s">
        <v>1173</v>
      </c>
      <c r="E414" s="1" t="s">
        <v>465</v>
      </c>
    </row>
    <row r="415" spans="3:5" x14ac:dyDescent="0.25">
      <c r="C415" s="1" t="s">
        <v>116</v>
      </c>
      <c r="D415" s="1" t="s">
        <v>1177</v>
      </c>
      <c r="E415" s="1" t="s">
        <v>465</v>
      </c>
    </row>
    <row r="416" spans="3:5" x14ac:dyDescent="0.25">
      <c r="C416" s="1" t="s">
        <v>116</v>
      </c>
      <c r="D416" s="1" t="s">
        <v>1226</v>
      </c>
      <c r="E416" s="1" t="s">
        <v>1183</v>
      </c>
    </row>
    <row r="417" spans="2:12" x14ac:dyDescent="0.25">
      <c r="C417" s="1" t="s">
        <v>116</v>
      </c>
      <c r="D417" s="1" t="s">
        <v>1290</v>
      </c>
      <c r="E417" s="1" t="s">
        <v>670</v>
      </c>
    </row>
    <row r="418" spans="2:12" x14ac:dyDescent="0.25">
      <c r="C418" s="1" t="s">
        <v>116</v>
      </c>
      <c r="D418" s="1" t="s">
        <v>1487</v>
      </c>
      <c r="E418" s="1" t="s">
        <v>834</v>
      </c>
    </row>
    <row r="419" spans="2:12" x14ac:dyDescent="0.25">
      <c r="C419" s="1" t="s">
        <v>116</v>
      </c>
      <c r="D419" s="1" t="s">
        <v>1490</v>
      </c>
      <c r="E419" s="1" t="s">
        <v>834</v>
      </c>
    </row>
    <row r="420" spans="2:12" x14ac:dyDescent="0.25">
      <c r="C420" s="1" t="s">
        <v>116</v>
      </c>
      <c r="D420" s="1" t="s">
        <v>1522</v>
      </c>
      <c r="E420" s="1" t="s">
        <v>1497</v>
      </c>
    </row>
    <row r="421" spans="2:12" x14ac:dyDescent="0.25">
      <c r="C421" s="1" t="s">
        <v>116</v>
      </c>
      <c r="D421" s="1" t="s">
        <v>1526</v>
      </c>
      <c r="E421" s="1" t="s">
        <v>1497</v>
      </c>
    </row>
    <row r="422" spans="2:12" x14ac:dyDescent="0.25">
      <c r="C422" s="1" t="s">
        <v>116</v>
      </c>
      <c r="D422" s="1" t="s">
        <v>1530</v>
      </c>
      <c r="E422" s="1" t="s">
        <v>1497</v>
      </c>
    </row>
    <row r="423" spans="2:12" x14ac:dyDescent="0.25">
      <c r="C423" s="1" t="s">
        <v>116</v>
      </c>
      <c r="D423" s="1" t="s">
        <v>1607</v>
      </c>
      <c r="E423" s="1" t="s">
        <v>1584</v>
      </c>
    </row>
    <row r="424" spans="2:12" x14ac:dyDescent="0.25">
      <c r="C424" s="1" t="s">
        <v>116</v>
      </c>
      <c r="D424" s="1" t="s">
        <v>1611</v>
      </c>
      <c r="E424" s="1" t="s">
        <v>1584</v>
      </c>
    </row>
    <row r="426" spans="2:12" x14ac:dyDescent="0.25">
      <c r="F426" s="33"/>
      <c r="G426" s="33"/>
      <c r="H426" s="33"/>
      <c r="I426" s="33"/>
      <c r="J426" s="33"/>
      <c r="K426" s="33"/>
      <c r="L426" s="33"/>
    </row>
    <row r="427" spans="2:12" x14ac:dyDescent="0.25">
      <c r="F427" s="33"/>
      <c r="G427" s="33"/>
      <c r="H427" s="33"/>
      <c r="I427" s="33"/>
      <c r="J427" s="33"/>
      <c r="K427" s="33"/>
      <c r="L427" s="33"/>
    </row>
    <row r="428" spans="2:12" ht="18.75" x14ac:dyDescent="0.3">
      <c r="B428" s="32"/>
      <c r="F428" s="34"/>
      <c r="G428" s="34"/>
      <c r="H428" s="34"/>
      <c r="I428" s="34"/>
      <c r="J428" s="34"/>
      <c r="K428" s="34"/>
      <c r="L428" s="34"/>
    </row>
    <row r="429" spans="2:12" ht="18.75" x14ac:dyDescent="0.3">
      <c r="C429" s="53" t="s">
        <v>2057</v>
      </c>
      <c r="D429" s="53"/>
      <c r="E429" s="53"/>
      <c r="F429" s="33"/>
      <c r="G429" s="33"/>
      <c r="H429" s="33"/>
      <c r="I429" s="33"/>
      <c r="J429" s="33"/>
      <c r="K429" s="33"/>
      <c r="L429" s="33"/>
    </row>
    <row r="430" spans="2:12" x14ac:dyDescent="0.25">
      <c r="F430" s="33"/>
      <c r="G430" s="33"/>
      <c r="H430" s="33"/>
      <c r="I430" s="33"/>
      <c r="J430" s="33"/>
      <c r="K430" s="33"/>
      <c r="L430" s="33"/>
    </row>
    <row r="431" spans="2:12" x14ac:dyDescent="0.25">
      <c r="F431" s="33"/>
      <c r="G431" s="33"/>
      <c r="H431" s="33"/>
      <c r="I431" s="33"/>
      <c r="J431" s="33"/>
      <c r="K431" s="33"/>
      <c r="L431" s="33"/>
    </row>
    <row r="432" spans="2:12" ht="30" hidden="1" x14ac:dyDescent="0.25">
      <c r="C432" s="10" t="s">
        <v>2025</v>
      </c>
      <c r="D432" s="10" t="s">
        <v>22</v>
      </c>
      <c r="E432" s="10" t="s">
        <v>23</v>
      </c>
      <c r="F432" s="33"/>
      <c r="G432" s="33"/>
      <c r="H432" s="33"/>
      <c r="I432" s="33"/>
      <c r="J432" s="33"/>
      <c r="K432" s="33"/>
      <c r="L432" s="33"/>
    </row>
    <row r="433" spans="3:12" x14ac:dyDescent="0.25">
      <c r="F433" s="33"/>
      <c r="G433" s="33"/>
      <c r="H433" s="33"/>
      <c r="I433" s="33"/>
      <c r="J433" s="33"/>
      <c r="K433" s="33"/>
      <c r="L433" s="33"/>
    </row>
    <row r="434" spans="3:12" hidden="1" x14ac:dyDescent="0.25">
      <c r="C434" s="25" t="s">
        <v>2054</v>
      </c>
      <c r="D434" s="25"/>
      <c r="E434" s="25">
        <f>+COUNTA(C436:C440)</f>
        <v>2</v>
      </c>
      <c r="F434" s="33"/>
      <c r="G434" s="33"/>
      <c r="H434" s="33"/>
      <c r="I434" s="33"/>
      <c r="J434" s="33"/>
      <c r="K434" s="33"/>
      <c r="L434" s="33"/>
    </row>
    <row r="435" spans="3:12" x14ac:dyDescent="0.25">
      <c r="C435" t="s">
        <v>2025</v>
      </c>
      <c r="D435" t="s">
        <v>37</v>
      </c>
      <c r="E435" t="s">
        <v>38</v>
      </c>
      <c r="F435" s="33"/>
      <c r="G435" s="33"/>
      <c r="H435" s="33"/>
      <c r="I435" s="35">
        <v>0</v>
      </c>
      <c r="J435" s="35"/>
      <c r="K435" s="33"/>
      <c r="L435" s="33"/>
    </row>
    <row r="436" spans="3:12" x14ac:dyDescent="0.25">
      <c r="C436" s="1" t="s">
        <v>144</v>
      </c>
      <c r="D436" s="1" t="s">
        <v>2035</v>
      </c>
      <c r="E436" s="1" t="s">
        <v>48</v>
      </c>
      <c r="F436" s="33"/>
      <c r="G436" s="33"/>
      <c r="H436" s="33"/>
      <c r="I436" s="35"/>
      <c r="J436" s="35"/>
      <c r="K436" s="33"/>
      <c r="L436" s="33"/>
    </row>
    <row r="437" spans="3:12" hidden="1" x14ac:dyDescent="0.25">
      <c r="C437" s="1" t="s">
        <v>144</v>
      </c>
      <c r="D437" s="1" t="s">
        <v>2028</v>
      </c>
      <c r="E437" s="1" t="s">
        <v>1924</v>
      </c>
      <c r="F437" s="33"/>
      <c r="G437" s="33"/>
      <c r="H437" s="33"/>
      <c r="I437" s="35"/>
      <c r="J437" s="35"/>
      <c r="K437" s="33"/>
      <c r="L437" s="33"/>
    </row>
    <row r="438" spans="3:12" hidden="1" x14ac:dyDescent="0.25">
      <c r="F438" s="33"/>
      <c r="G438" s="33"/>
      <c r="H438" s="33"/>
      <c r="I438" s="35"/>
      <c r="J438" s="35"/>
      <c r="K438" s="33"/>
      <c r="L438" s="33"/>
    </row>
    <row r="439" spans="3:12" hidden="1" x14ac:dyDescent="0.25">
      <c r="F439" s="33"/>
      <c r="G439" s="33"/>
      <c r="H439" s="33"/>
      <c r="I439" s="35">
        <f>E434</f>
        <v>2</v>
      </c>
      <c r="J439" s="35"/>
      <c r="K439" s="33"/>
      <c r="L439" s="33"/>
    </row>
    <row r="440" spans="3:12" x14ac:dyDescent="0.25">
      <c r="F440" s="33"/>
      <c r="G440" s="33"/>
      <c r="H440" s="33"/>
      <c r="I440" s="35"/>
      <c r="J440" s="35"/>
      <c r="K440" s="33"/>
      <c r="L440" s="33"/>
    </row>
    <row r="441" spans="3:12" hidden="1" x14ac:dyDescent="0.25">
      <c r="C441" s="25" t="s">
        <v>2056</v>
      </c>
      <c r="D441" s="25"/>
      <c r="E441" s="25">
        <f>+COUNTA(C443:C452)</f>
        <v>7</v>
      </c>
      <c r="F441" s="33"/>
      <c r="G441" s="33"/>
      <c r="H441" s="33"/>
      <c r="I441" s="35"/>
      <c r="J441" s="35"/>
      <c r="K441" s="33"/>
      <c r="L441" s="33"/>
    </row>
    <row r="442" spans="3:12" x14ac:dyDescent="0.25">
      <c r="C442" t="s">
        <v>2025</v>
      </c>
      <c r="D442" t="s">
        <v>37</v>
      </c>
      <c r="E442" t="s">
        <v>38</v>
      </c>
      <c r="F442" s="33"/>
      <c r="G442" s="33"/>
      <c r="H442" s="33"/>
      <c r="I442" s="35"/>
      <c r="J442" s="35"/>
      <c r="K442" s="33"/>
      <c r="L442" s="33"/>
    </row>
    <row r="443" spans="3:12" x14ac:dyDescent="0.25">
      <c r="C443" s="1" t="s">
        <v>158</v>
      </c>
      <c r="D443" s="1" t="s">
        <v>2041</v>
      </c>
      <c r="E443" s="1" t="s">
        <v>254</v>
      </c>
      <c r="F443" s="33"/>
      <c r="G443" s="33"/>
      <c r="H443" s="33"/>
      <c r="I443" s="35"/>
      <c r="J443" s="35"/>
      <c r="K443" s="33"/>
      <c r="L443" s="33"/>
    </row>
    <row r="444" spans="3:12" x14ac:dyDescent="0.25">
      <c r="C444" s="1" t="s">
        <v>158</v>
      </c>
      <c r="D444" s="1" t="s">
        <v>2044</v>
      </c>
      <c r="E444" s="1" t="s">
        <v>67</v>
      </c>
      <c r="F444" s="33"/>
      <c r="G444" s="33"/>
      <c r="H444" s="33"/>
      <c r="I444" s="35">
        <f>E434</f>
        <v>2</v>
      </c>
      <c r="J444" s="35"/>
      <c r="K444" s="33"/>
      <c r="L444" s="33"/>
    </row>
    <row r="445" spans="3:12" x14ac:dyDescent="0.25">
      <c r="C445" s="1" t="s">
        <v>158</v>
      </c>
      <c r="D445" s="1" t="s">
        <v>2050</v>
      </c>
      <c r="E445" s="1" t="s">
        <v>67</v>
      </c>
      <c r="F445" s="33"/>
      <c r="G445" s="33"/>
      <c r="H445" s="33"/>
      <c r="I445" s="35"/>
      <c r="J445" s="35"/>
      <c r="K445" s="33"/>
      <c r="L445" s="33"/>
    </row>
    <row r="446" spans="3:12" x14ac:dyDescent="0.25">
      <c r="C446" s="1" t="s">
        <v>158</v>
      </c>
      <c r="D446" s="1" t="s">
        <v>2047</v>
      </c>
      <c r="E446" s="1" t="s">
        <v>67</v>
      </c>
      <c r="F446" s="33"/>
      <c r="G446" s="33"/>
      <c r="H446" s="33"/>
      <c r="I446" s="35"/>
      <c r="J446" s="35"/>
      <c r="K446" s="33"/>
      <c r="L446" s="33"/>
    </row>
    <row r="447" spans="3:12" x14ac:dyDescent="0.25">
      <c r="C447" s="1" t="s">
        <v>158</v>
      </c>
      <c r="D447" s="1" t="s">
        <v>2039</v>
      </c>
      <c r="E447" s="1" t="s">
        <v>48</v>
      </c>
      <c r="F447" s="33"/>
      <c r="G447" s="33"/>
      <c r="H447" s="33"/>
      <c r="I447" s="35"/>
      <c r="J447" s="35"/>
      <c r="K447" s="33"/>
      <c r="L447" s="33"/>
    </row>
    <row r="448" spans="3:12" x14ac:dyDescent="0.25">
      <c r="C448" s="1" t="s">
        <v>158</v>
      </c>
      <c r="D448" s="1" t="s">
        <v>2031</v>
      </c>
      <c r="E448" s="1" t="s">
        <v>1924</v>
      </c>
      <c r="F448" s="33"/>
      <c r="G448" s="33"/>
      <c r="H448" s="33"/>
      <c r="I448" s="35">
        <f>E441</f>
        <v>7</v>
      </c>
      <c r="J448" s="35"/>
      <c r="K448" s="33"/>
      <c r="L448" s="33"/>
    </row>
    <row r="449" spans="3:12" x14ac:dyDescent="0.25">
      <c r="C449" s="1" t="s">
        <v>158</v>
      </c>
      <c r="D449" s="1" t="s">
        <v>1952</v>
      </c>
      <c r="E449" s="1" t="s">
        <v>48</v>
      </c>
      <c r="F449" s="33"/>
      <c r="G449" s="33"/>
      <c r="H449" s="33"/>
      <c r="I449" s="33"/>
      <c r="J449" s="33"/>
      <c r="K449" s="33"/>
      <c r="L449" s="33"/>
    </row>
    <row r="450" spans="3:12" x14ac:dyDescent="0.25">
      <c r="F450" s="33"/>
      <c r="G450" s="33"/>
      <c r="H450" s="33"/>
      <c r="I450" s="33"/>
      <c r="J450" s="33"/>
      <c r="K450" s="33"/>
      <c r="L450" s="33"/>
    </row>
    <row r="451" spans="3:12" x14ac:dyDescent="0.25">
      <c r="F451" s="33"/>
      <c r="G451" s="33"/>
      <c r="H451" s="33"/>
      <c r="I451" s="36" t="s">
        <v>2055</v>
      </c>
      <c r="J451" s="37">
        <f>+E434+E441</f>
        <v>9</v>
      </c>
      <c r="K451" s="33"/>
      <c r="L451" s="33"/>
    </row>
    <row r="452" spans="3:12" x14ac:dyDescent="0.25">
      <c r="F452" s="33"/>
      <c r="G452" s="33"/>
      <c r="H452" s="33"/>
      <c r="I452" s="33"/>
      <c r="J452" s="33"/>
      <c r="K452" s="33"/>
      <c r="L452" s="33"/>
    </row>
    <row r="453" spans="3:12" x14ac:dyDescent="0.25">
      <c r="F453" s="33"/>
      <c r="G453" s="33"/>
      <c r="H453" s="33"/>
      <c r="I453" s="33"/>
      <c r="J453" s="33"/>
      <c r="K453" s="33"/>
      <c r="L453" s="33"/>
    </row>
    <row r="454" spans="3:12" x14ac:dyDescent="0.25">
      <c r="F454" s="33"/>
      <c r="G454" s="33"/>
      <c r="H454" s="33"/>
      <c r="I454" s="33"/>
      <c r="J454" s="33"/>
      <c r="K454" s="33"/>
      <c r="L454" s="33"/>
    </row>
    <row r="455" spans="3:12" x14ac:dyDescent="0.25">
      <c r="F455" s="33"/>
      <c r="G455" s="33"/>
      <c r="H455" s="33"/>
      <c r="I455" s="33"/>
      <c r="J455" s="33"/>
      <c r="K455" s="33"/>
      <c r="L455" s="33"/>
    </row>
    <row r="456" spans="3:12" x14ac:dyDescent="0.25">
      <c r="F456" s="33"/>
      <c r="G456" s="33"/>
      <c r="H456" s="33"/>
      <c r="I456" s="33"/>
      <c r="J456" s="33"/>
      <c r="K456" s="33"/>
      <c r="L456" s="33"/>
    </row>
  </sheetData>
  <sheetProtection algorithmName="SHA-512" hashValue="KsG87rLOlW9LbnEQqJdwlUJZWFEa++9ji7mvzSxbFzrTkgPPe6JPVKyct+sT3UVnAg2aHRwTNnTjVG6PDFQDxA==" saltValue="0zZhSOsmWAbozFGGLK0OfQ==" spinCount="100000" sheet="1" objects="1" scenarios="1"/>
  <mergeCells count="3">
    <mergeCell ref="C6:E6"/>
    <mergeCell ref="C7:E7"/>
    <mergeCell ref="C429:E429"/>
  </mergeCells>
  <pageMargins left="0.7" right="0.7" top="0.75" bottom="0.75" header="0.3" footer="0.3"/>
  <pageSetup paperSize="9"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A1:Q81"/>
  <sheetViews>
    <sheetView showGridLines="0" zoomScale="90" zoomScaleNormal="90" workbookViewId="0">
      <selection activeCell="G24" sqref="G24"/>
    </sheetView>
  </sheetViews>
  <sheetFormatPr baseColWidth="10" defaultColWidth="11.5703125" defaultRowHeight="15" x14ac:dyDescent="0.25"/>
  <cols>
    <col min="1" max="1" width="11.5703125" style="1" customWidth="1"/>
    <col min="2" max="2" width="31.140625" style="1" customWidth="1"/>
    <col min="3" max="10" width="12.42578125" style="1" customWidth="1"/>
    <col min="11" max="16" width="13.42578125" style="1" customWidth="1"/>
    <col min="17" max="16384" width="11.5703125" style="1"/>
  </cols>
  <sheetData>
    <row r="1" spans="1:17" ht="51" customHeight="1" x14ac:dyDescent="0.25"/>
    <row r="2" spans="1:17" x14ac:dyDescent="0.25">
      <c r="A2" s="2" t="s">
        <v>11</v>
      </c>
    </row>
    <row r="3" spans="1:17" x14ac:dyDescent="0.25">
      <c r="A3" s="3" t="s">
        <v>12</v>
      </c>
    </row>
    <row r="4" spans="1:17" x14ac:dyDescent="0.25">
      <c r="A4" s="2" t="s">
        <v>14</v>
      </c>
    </row>
    <row r="5" spans="1:17" ht="20.25" customHeight="1" x14ac:dyDescent="0.3">
      <c r="B5" s="48" t="s">
        <v>2058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29"/>
    </row>
    <row r="6" spans="1:17" ht="18" customHeight="1" x14ac:dyDescent="0.3">
      <c r="B6" s="54" t="s">
        <v>15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31"/>
    </row>
    <row r="9" spans="1:17" x14ac:dyDescent="0.25">
      <c r="B9" s="63" t="s">
        <v>2059</v>
      </c>
      <c r="C9" s="56" t="s">
        <v>2060</v>
      </c>
      <c r="D9" s="64" t="s">
        <v>2061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</row>
    <row r="10" spans="1:17" ht="14.25" customHeight="1" x14ac:dyDescent="0.25">
      <c r="B10" s="63"/>
      <c r="C10" s="56"/>
      <c r="D10" s="59" t="s">
        <v>9</v>
      </c>
      <c r="E10" s="61" t="s">
        <v>2062</v>
      </c>
      <c r="F10" s="57" t="s">
        <v>2063</v>
      </c>
      <c r="G10" s="55" t="s">
        <v>725</v>
      </c>
      <c r="H10" s="55" t="s">
        <v>144</v>
      </c>
      <c r="I10" s="55" t="s">
        <v>206</v>
      </c>
      <c r="J10" s="55" t="s">
        <v>76</v>
      </c>
      <c r="K10" s="57" t="s">
        <v>2064</v>
      </c>
      <c r="L10" s="59" t="s">
        <v>2065</v>
      </c>
      <c r="M10" s="61" t="s">
        <v>2066</v>
      </c>
      <c r="N10" s="66" t="s">
        <v>2067</v>
      </c>
      <c r="O10" s="66"/>
      <c r="P10" s="66"/>
    </row>
    <row r="11" spans="1:17" ht="17.25" customHeight="1" x14ac:dyDescent="0.25">
      <c r="B11" s="63"/>
      <c r="C11" s="56"/>
      <c r="D11" s="60"/>
      <c r="E11" s="62"/>
      <c r="F11" s="58"/>
      <c r="G11" s="56"/>
      <c r="H11" s="56"/>
      <c r="I11" s="56"/>
      <c r="J11" s="56"/>
      <c r="K11" s="58"/>
      <c r="L11" s="60"/>
      <c r="M11" s="62"/>
      <c r="N11" s="6" t="s">
        <v>2068</v>
      </c>
      <c r="O11" s="6" t="s">
        <v>2069</v>
      </c>
      <c r="P11" s="6" t="s">
        <v>2070</v>
      </c>
    </row>
    <row r="12" spans="1:17" x14ac:dyDescent="0.25">
      <c r="B12" s="26" t="s">
        <v>2060</v>
      </c>
      <c r="C12" s="25">
        <f>SUM(Tabla_Consulta_desde_pentahodev7[Columna2])</f>
        <v>392</v>
      </c>
      <c r="D12" s="25">
        <f>SUM(Tabla_Consulta_desde_pentahodev7[Columna3])</f>
        <v>2</v>
      </c>
      <c r="E12" s="25">
        <f>SUM(Tabla_Consulta_desde_pentahodev7[Columna4])</f>
        <v>1</v>
      </c>
      <c r="F12" s="25">
        <f>SUM(Tabla_Consulta_desde_pentahodev7[Columna5])</f>
        <v>8</v>
      </c>
      <c r="G12" s="25">
        <f>SUM(Tabla_Consulta_desde_pentahodev7[Columna6])</f>
        <v>2</v>
      </c>
      <c r="H12" s="25">
        <f>SUM(Tabla_Consulta_desde_pentahodev7[Columna7])</f>
        <v>9</v>
      </c>
      <c r="I12" s="25">
        <f>SUM(Tabla_Consulta_desde_pentahodev7[Columna8])</f>
        <v>26</v>
      </c>
      <c r="J12" s="25">
        <f>SUM(Tabla_Consulta_desde_pentahodev7[Columna9])</f>
        <v>46</v>
      </c>
      <c r="K12" s="25">
        <f>SUM(Tabla_Consulta_desde_pentahodev7[Columna10])</f>
        <v>23</v>
      </c>
      <c r="L12" s="25">
        <f>SUM(Tabla_Consulta_desde_pentahodev7[Columna11])</f>
        <v>42</v>
      </c>
      <c r="M12" s="25">
        <f>SUM(Tabla_Consulta_desde_pentahodev7[Columna12])</f>
        <v>109</v>
      </c>
      <c r="N12" s="25">
        <f>SUM(Tabla_Consulta_desde_pentahodev7[Columna13])</f>
        <v>37</v>
      </c>
      <c r="O12" s="25">
        <f>SUM(Tabla_Consulta_desde_pentahodev7[Columna14])</f>
        <v>49</v>
      </c>
      <c r="P12" s="25">
        <f>SUM(Tabla_Consulta_desde_pentahodev7[Columna15])</f>
        <v>38</v>
      </c>
    </row>
    <row r="13" spans="1:17" hidden="1" x14ac:dyDescent="0.25">
      <c r="B13" t="s">
        <v>2071</v>
      </c>
      <c r="C13" s="25" t="s">
        <v>2072</v>
      </c>
      <c r="D13" t="s">
        <v>2073</v>
      </c>
      <c r="E13" t="s">
        <v>2074</v>
      </c>
      <c r="F13" t="s">
        <v>2075</v>
      </c>
      <c r="G13" t="s">
        <v>2076</v>
      </c>
      <c r="H13" t="s">
        <v>2077</v>
      </c>
      <c r="I13" t="s">
        <v>2078</v>
      </c>
      <c r="J13" t="s">
        <v>2079</v>
      </c>
      <c r="K13" t="s">
        <v>2080</v>
      </c>
      <c r="L13" t="s">
        <v>2081</v>
      </c>
      <c r="M13" t="s">
        <v>2082</v>
      </c>
      <c r="N13" t="s">
        <v>2083</v>
      </c>
      <c r="O13" t="s">
        <v>2084</v>
      </c>
      <c r="P13" t="s">
        <v>2085</v>
      </c>
    </row>
    <row r="14" spans="1:17" x14ac:dyDescent="0.25">
      <c r="B14" s="1" t="s">
        <v>42</v>
      </c>
      <c r="C14" s="25">
        <v>1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7" x14ac:dyDescent="0.25">
      <c r="B15" s="1" t="s">
        <v>54</v>
      </c>
      <c r="C15" s="25">
        <v>1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7" x14ac:dyDescent="0.25">
      <c r="B16" s="1" t="s">
        <v>62</v>
      </c>
      <c r="C16" s="25">
        <v>1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2:16" x14ac:dyDescent="0.25">
      <c r="B17" s="1" t="s">
        <v>72</v>
      </c>
      <c r="C17" s="25">
        <v>10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3</v>
      </c>
      <c r="K17" s="1">
        <v>0</v>
      </c>
      <c r="L17" s="1">
        <v>0</v>
      </c>
      <c r="M17" s="1">
        <v>0</v>
      </c>
      <c r="N17" s="1">
        <v>0</v>
      </c>
      <c r="O17" s="1">
        <v>2</v>
      </c>
      <c r="P17" s="1">
        <v>5</v>
      </c>
    </row>
    <row r="18" spans="2:16" x14ac:dyDescent="0.25">
      <c r="B18" s="1" t="s">
        <v>140</v>
      </c>
      <c r="C18" s="25">
        <v>12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1</v>
      </c>
      <c r="K18" s="1">
        <v>1</v>
      </c>
      <c r="L18" s="1">
        <v>4</v>
      </c>
      <c r="M18" s="1">
        <v>4</v>
      </c>
      <c r="N18" s="1">
        <v>0</v>
      </c>
      <c r="O18" s="1">
        <v>1</v>
      </c>
      <c r="P18" s="1">
        <v>0</v>
      </c>
    </row>
    <row r="19" spans="2:16" x14ac:dyDescent="0.25">
      <c r="B19" s="1" t="s">
        <v>203</v>
      </c>
      <c r="C19" s="25">
        <v>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1</v>
      </c>
      <c r="K19" s="1">
        <v>0</v>
      </c>
      <c r="L19" s="1">
        <v>0</v>
      </c>
      <c r="M19" s="1">
        <v>2</v>
      </c>
      <c r="N19" s="1">
        <v>0</v>
      </c>
      <c r="O19" s="1">
        <v>3</v>
      </c>
      <c r="P19" s="1">
        <v>1</v>
      </c>
    </row>
    <row r="20" spans="2:16" x14ac:dyDescent="0.25">
      <c r="B20" s="1" t="s">
        <v>248</v>
      </c>
      <c r="C20" s="25">
        <v>29</v>
      </c>
      <c r="D20" s="1">
        <v>0</v>
      </c>
      <c r="E20" s="1">
        <v>0</v>
      </c>
      <c r="F20" s="1">
        <v>1</v>
      </c>
      <c r="G20" s="1">
        <v>0</v>
      </c>
      <c r="H20" s="1">
        <v>1</v>
      </c>
      <c r="I20" s="1">
        <v>1</v>
      </c>
      <c r="J20" s="1">
        <v>2</v>
      </c>
      <c r="K20" s="1">
        <v>1</v>
      </c>
      <c r="L20" s="1">
        <v>1</v>
      </c>
      <c r="M20" s="1">
        <v>13</v>
      </c>
      <c r="N20" s="1">
        <v>5</v>
      </c>
      <c r="O20" s="1">
        <v>1</v>
      </c>
      <c r="P20" s="1">
        <v>3</v>
      </c>
    </row>
    <row r="21" spans="2:16" x14ac:dyDescent="0.25">
      <c r="B21" s="1" t="s">
        <v>391</v>
      </c>
      <c r="C21" s="25">
        <v>10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6</v>
      </c>
      <c r="N21" s="1">
        <v>1</v>
      </c>
      <c r="O21" s="1">
        <v>1</v>
      </c>
      <c r="P21" s="1">
        <v>1</v>
      </c>
    </row>
    <row r="22" spans="2:16" x14ac:dyDescent="0.25">
      <c r="B22" s="1" t="s">
        <v>439</v>
      </c>
      <c r="C22" s="25">
        <v>12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2</v>
      </c>
      <c r="M22" s="1">
        <v>7</v>
      </c>
      <c r="N22" s="1">
        <v>0</v>
      </c>
      <c r="O22" s="1">
        <v>1</v>
      </c>
      <c r="P22" s="1">
        <v>1</v>
      </c>
    </row>
    <row r="23" spans="2:16" x14ac:dyDescent="0.25">
      <c r="B23" s="1" t="s">
        <v>489</v>
      </c>
      <c r="C23" s="25">
        <v>18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4</v>
      </c>
      <c r="K23" s="1">
        <v>1</v>
      </c>
      <c r="L23" s="1">
        <v>8</v>
      </c>
      <c r="M23" s="1">
        <v>1</v>
      </c>
      <c r="N23" s="1">
        <v>0</v>
      </c>
      <c r="O23" s="1">
        <v>1</v>
      </c>
      <c r="P23" s="1">
        <v>2</v>
      </c>
    </row>
    <row r="24" spans="2:16" x14ac:dyDescent="0.25">
      <c r="B24" s="1" t="s">
        <v>582</v>
      </c>
      <c r="C24" s="25">
        <v>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2</v>
      </c>
      <c r="M24" s="1">
        <v>2</v>
      </c>
      <c r="N24" s="1">
        <v>0</v>
      </c>
      <c r="O24" s="1">
        <v>0</v>
      </c>
      <c r="P24" s="1">
        <v>2</v>
      </c>
    </row>
    <row r="25" spans="2:16" x14ac:dyDescent="0.25">
      <c r="B25" s="1" t="s">
        <v>617</v>
      </c>
      <c r="C25" s="25">
        <v>14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1</v>
      </c>
      <c r="K25" s="1">
        <v>0</v>
      </c>
      <c r="L25" s="1">
        <v>1</v>
      </c>
      <c r="M25" s="1">
        <v>8</v>
      </c>
      <c r="N25" s="1">
        <v>2</v>
      </c>
      <c r="O25" s="1">
        <v>0</v>
      </c>
      <c r="P25" s="1">
        <v>1</v>
      </c>
    </row>
    <row r="26" spans="2:16" x14ac:dyDescent="0.25">
      <c r="B26" s="1" t="s">
        <v>687</v>
      </c>
      <c r="C26" s="25">
        <v>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3</v>
      </c>
      <c r="M26" s="1">
        <v>2</v>
      </c>
      <c r="N26" s="1">
        <v>0</v>
      </c>
      <c r="O26" s="1">
        <v>1</v>
      </c>
      <c r="P26" s="1">
        <v>0</v>
      </c>
    </row>
    <row r="27" spans="2:16" x14ac:dyDescent="0.25">
      <c r="B27" s="1" t="s">
        <v>721</v>
      </c>
      <c r="C27" s="25">
        <v>17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1</v>
      </c>
      <c r="J27" s="1">
        <v>3</v>
      </c>
      <c r="K27" s="1">
        <v>0</v>
      </c>
      <c r="L27" s="1">
        <v>0</v>
      </c>
      <c r="M27" s="1">
        <v>0</v>
      </c>
      <c r="N27" s="1">
        <v>0</v>
      </c>
      <c r="O27" s="1">
        <v>6</v>
      </c>
      <c r="P27" s="1">
        <v>6</v>
      </c>
    </row>
    <row r="28" spans="2:16" x14ac:dyDescent="0.25">
      <c r="B28" s="1" t="s">
        <v>815</v>
      </c>
      <c r="C28" s="25">
        <v>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1</v>
      </c>
      <c r="P28" s="1">
        <v>0</v>
      </c>
    </row>
    <row r="29" spans="2:16" x14ac:dyDescent="0.25">
      <c r="B29" s="1" t="s">
        <v>830</v>
      </c>
      <c r="C29" s="25">
        <v>12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  <c r="J29" s="1">
        <v>1</v>
      </c>
      <c r="K29" s="1">
        <v>2</v>
      </c>
      <c r="L29" s="1">
        <v>1</v>
      </c>
      <c r="M29" s="1">
        <v>4</v>
      </c>
      <c r="N29" s="1">
        <v>1</v>
      </c>
      <c r="O29" s="1">
        <v>1</v>
      </c>
      <c r="P29" s="1">
        <v>1</v>
      </c>
    </row>
    <row r="30" spans="2:16" x14ac:dyDescent="0.25">
      <c r="B30" s="1" t="s">
        <v>893</v>
      </c>
      <c r="C30" s="25">
        <v>22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1</v>
      </c>
      <c r="J30" s="1">
        <v>3</v>
      </c>
      <c r="K30" s="1">
        <v>2</v>
      </c>
      <c r="L30" s="1">
        <v>1</v>
      </c>
      <c r="M30" s="1">
        <v>8</v>
      </c>
      <c r="N30" s="1">
        <v>1</v>
      </c>
      <c r="O30" s="1">
        <v>4</v>
      </c>
      <c r="P30" s="1">
        <v>1</v>
      </c>
    </row>
    <row r="31" spans="2:16" x14ac:dyDescent="0.25">
      <c r="B31" s="1" t="s">
        <v>1007</v>
      </c>
      <c r="C31" s="25">
        <v>36</v>
      </c>
      <c r="D31" s="1">
        <v>0</v>
      </c>
      <c r="E31" s="1">
        <v>0</v>
      </c>
      <c r="F31" s="1">
        <v>1</v>
      </c>
      <c r="G31" s="1">
        <v>1</v>
      </c>
      <c r="H31" s="1">
        <v>0</v>
      </c>
      <c r="I31" s="1">
        <v>1</v>
      </c>
      <c r="J31" s="1">
        <v>6</v>
      </c>
      <c r="K31" s="1">
        <v>2</v>
      </c>
      <c r="L31" s="1">
        <v>3</v>
      </c>
      <c r="M31" s="1">
        <v>10</v>
      </c>
      <c r="N31" s="1">
        <v>1</v>
      </c>
      <c r="O31" s="1">
        <v>6</v>
      </c>
      <c r="P31" s="1">
        <v>5</v>
      </c>
    </row>
    <row r="32" spans="2:16" x14ac:dyDescent="0.25">
      <c r="B32" s="1" t="s">
        <v>1179</v>
      </c>
      <c r="C32" s="25">
        <v>9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  <c r="J32" s="1">
        <v>1</v>
      </c>
      <c r="K32" s="1">
        <v>0</v>
      </c>
      <c r="L32" s="1">
        <v>0</v>
      </c>
      <c r="M32" s="1">
        <v>0</v>
      </c>
      <c r="N32" s="1">
        <v>2</v>
      </c>
      <c r="O32" s="1">
        <v>4</v>
      </c>
      <c r="P32" s="1">
        <v>1</v>
      </c>
    </row>
    <row r="33" spans="2:16" x14ac:dyDescent="0.25">
      <c r="B33" s="1" t="s">
        <v>1230</v>
      </c>
      <c r="C33" s="25">
        <v>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0</v>
      </c>
      <c r="M33" s="1">
        <v>2</v>
      </c>
      <c r="N33" s="1">
        <v>0</v>
      </c>
      <c r="O33" s="1">
        <v>0</v>
      </c>
      <c r="P33" s="1">
        <v>0</v>
      </c>
    </row>
    <row r="34" spans="2:16" x14ac:dyDescent="0.25">
      <c r="B34" s="1" t="s">
        <v>1247</v>
      </c>
      <c r="C34" s="25">
        <v>6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2</v>
      </c>
      <c r="J34" s="1">
        <v>0</v>
      </c>
      <c r="K34" s="1">
        <v>0</v>
      </c>
      <c r="L34" s="1">
        <v>2</v>
      </c>
      <c r="M34" s="1">
        <v>1</v>
      </c>
      <c r="N34" s="1">
        <v>0</v>
      </c>
      <c r="O34" s="1">
        <v>1</v>
      </c>
      <c r="P34" s="1">
        <v>0</v>
      </c>
    </row>
    <row r="35" spans="2:16" x14ac:dyDescent="0.25">
      <c r="B35" s="1" t="s">
        <v>1277</v>
      </c>
      <c r="C35" s="25">
        <v>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2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</row>
    <row r="36" spans="2:16" x14ac:dyDescent="0.25">
      <c r="B36" s="1" t="s">
        <v>1293</v>
      </c>
      <c r="C36" s="25">
        <v>13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2</v>
      </c>
      <c r="K36" s="1">
        <v>0</v>
      </c>
      <c r="L36" s="1">
        <v>1</v>
      </c>
      <c r="M36" s="1">
        <v>6</v>
      </c>
      <c r="N36" s="1">
        <v>0</v>
      </c>
      <c r="O36" s="1">
        <v>3</v>
      </c>
      <c r="P36" s="1">
        <v>0</v>
      </c>
    </row>
    <row r="37" spans="2:16" x14ac:dyDescent="0.25">
      <c r="B37" s="1" t="s">
        <v>1357</v>
      </c>
      <c r="C37" s="25">
        <v>20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2</v>
      </c>
      <c r="J37" s="1">
        <v>2</v>
      </c>
      <c r="K37" s="1">
        <v>0</v>
      </c>
      <c r="L37" s="1">
        <v>3</v>
      </c>
      <c r="M37" s="1">
        <v>8</v>
      </c>
      <c r="N37" s="1">
        <v>3</v>
      </c>
      <c r="O37" s="1">
        <v>1</v>
      </c>
      <c r="P37" s="1">
        <v>0</v>
      </c>
    </row>
    <row r="38" spans="2:16" x14ac:dyDescent="0.25">
      <c r="B38" s="1" t="s">
        <v>1454</v>
      </c>
      <c r="C38" s="25">
        <v>9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1</v>
      </c>
      <c r="K38" s="1">
        <v>1</v>
      </c>
      <c r="L38" s="1">
        <v>0</v>
      </c>
      <c r="M38" s="1">
        <v>2</v>
      </c>
      <c r="N38" s="1">
        <v>1</v>
      </c>
      <c r="O38" s="1">
        <v>1</v>
      </c>
      <c r="P38" s="1">
        <v>2</v>
      </c>
    </row>
    <row r="39" spans="2:16" x14ac:dyDescent="0.25">
      <c r="B39" s="1" t="s">
        <v>1493</v>
      </c>
      <c r="C39" s="25">
        <v>8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1</v>
      </c>
      <c r="O39" s="1">
        <v>2</v>
      </c>
      <c r="P39" s="1">
        <v>3</v>
      </c>
    </row>
    <row r="40" spans="2:16" x14ac:dyDescent="0.25">
      <c r="B40" s="1" t="s">
        <v>1532</v>
      </c>
      <c r="C40" s="25">
        <v>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1</v>
      </c>
      <c r="K40" s="1">
        <v>0</v>
      </c>
      <c r="L40" s="1">
        <v>2</v>
      </c>
      <c r="M40" s="1">
        <v>3</v>
      </c>
      <c r="N40" s="1">
        <v>0</v>
      </c>
      <c r="O40" s="1">
        <v>0</v>
      </c>
      <c r="P40" s="1">
        <v>0</v>
      </c>
    </row>
    <row r="41" spans="2:16" x14ac:dyDescent="0.25">
      <c r="B41" s="1" t="s">
        <v>1563</v>
      </c>
      <c r="C41" s="25">
        <v>4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  <c r="M41" s="1">
        <v>3</v>
      </c>
      <c r="N41" s="1">
        <v>0</v>
      </c>
      <c r="O41" s="1">
        <v>0</v>
      </c>
      <c r="P41" s="1">
        <v>0</v>
      </c>
    </row>
    <row r="42" spans="2:16" x14ac:dyDescent="0.25">
      <c r="B42" s="1" t="s">
        <v>1580</v>
      </c>
      <c r="C42" s="25">
        <v>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4</v>
      </c>
      <c r="N42" s="1">
        <v>0</v>
      </c>
      <c r="O42" s="1">
        <v>0</v>
      </c>
      <c r="P42" s="1">
        <v>2</v>
      </c>
    </row>
    <row r="43" spans="2:16" x14ac:dyDescent="0.25">
      <c r="B43" s="1" t="s">
        <v>1613</v>
      </c>
      <c r="C43" s="25">
        <v>19</v>
      </c>
      <c r="D43" s="1">
        <v>0</v>
      </c>
      <c r="E43" s="1">
        <v>0</v>
      </c>
      <c r="F43" s="1">
        <v>1</v>
      </c>
      <c r="G43" s="1">
        <v>0</v>
      </c>
      <c r="H43" s="1">
        <v>1</v>
      </c>
      <c r="I43" s="1">
        <v>3</v>
      </c>
      <c r="J43" s="1">
        <v>2</v>
      </c>
      <c r="K43" s="1">
        <v>3</v>
      </c>
      <c r="L43" s="1">
        <v>2</v>
      </c>
      <c r="M43" s="1">
        <v>1</v>
      </c>
      <c r="N43" s="1">
        <v>6</v>
      </c>
      <c r="O43" s="1">
        <v>0</v>
      </c>
      <c r="P43" s="1">
        <v>0</v>
      </c>
    </row>
    <row r="44" spans="2:16" x14ac:dyDescent="0.25">
      <c r="B44" s="1" t="s">
        <v>1712</v>
      </c>
      <c r="C44" s="25">
        <v>24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2</v>
      </c>
      <c r="J44" s="1">
        <v>3</v>
      </c>
      <c r="K44" s="1">
        <v>2</v>
      </c>
      <c r="L44" s="1">
        <v>4</v>
      </c>
      <c r="M44" s="1">
        <v>5</v>
      </c>
      <c r="N44" s="1">
        <v>3</v>
      </c>
      <c r="O44" s="1">
        <v>4</v>
      </c>
      <c r="P44" s="1">
        <v>0</v>
      </c>
    </row>
    <row r="45" spans="2:16" x14ac:dyDescent="0.25">
      <c r="B45" s="1" t="s">
        <v>1828</v>
      </c>
      <c r="C45" s="25">
        <v>20</v>
      </c>
      <c r="D45" s="1">
        <v>0</v>
      </c>
      <c r="E45" s="1">
        <v>0</v>
      </c>
      <c r="F45" s="1">
        <v>1</v>
      </c>
      <c r="G45" s="1">
        <v>0</v>
      </c>
      <c r="H45" s="1">
        <v>1</v>
      </c>
      <c r="I45" s="1">
        <v>1</v>
      </c>
      <c r="J45" s="1">
        <v>3</v>
      </c>
      <c r="K45" s="1">
        <v>6</v>
      </c>
      <c r="L45" s="1">
        <v>2</v>
      </c>
      <c r="M45" s="1">
        <v>2</v>
      </c>
      <c r="N45" s="1">
        <v>3</v>
      </c>
      <c r="O45" s="1">
        <v>1</v>
      </c>
      <c r="P45" s="1">
        <v>0</v>
      </c>
    </row>
    <row r="46" spans="2:16" x14ac:dyDescent="0.25">
      <c r="B46" s="1" t="s">
        <v>1920</v>
      </c>
      <c r="C46" s="25">
        <v>20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2</v>
      </c>
      <c r="J46" s="1">
        <v>2</v>
      </c>
      <c r="K46" s="1">
        <v>2</v>
      </c>
      <c r="L46" s="1">
        <v>0</v>
      </c>
      <c r="M46" s="1">
        <v>3</v>
      </c>
      <c r="N46" s="1">
        <v>7</v>
      </c>
      <c r="O46" s="1">
        <v>3</v>
      </c>
      <c r="P46" s="1">
        <v>0</v>
      </c>
    </row>
    <row r="48" spans="2:16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8" spans="1:17" ht="18.75" x14ac:dyDescent="0.3">
      <c r="B68" s="48" t="s">
        <v>2086</v>
      </c>
      <c r="C68" s="48"/>
      <c r="D68" s="48"/>
      <c r="E68" s="4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</row>
    <row r="71" spans="1:17" ht="15" customHeight="1" x14ac:dyDescent="0.25">
      <c r="B71" s="63" t="s">
        <v>2087</v>
      </c>
      <c r="C71" s="63" t="s">
        <v>2060</v>
      </c>
      <c r="D71" s="63" t="s">
        <v>2061</v>
      </c>
      <c r="E71" s="63"/>
    </row>
    <row r="72" spans="1:17" x14ac:dyDescent="0.25">
      <c r="B72" s="63"/>
      <c r="C72" s="63"/>
      <c r="D72" s="7" t="s">
        <v>144</v>
      </c>
      <c r="E72" s="7" t="s">
        <v>158</v>
      </c>
    </row>
    <row r="73" spans="1:17" x14ac:dyDescent="0.25">
      <c r="B73" s="25" t="s">
        <v>2060</v>
      </c>
      <c r="C73" s="25">
        <f>SUM(Tabla_Consulta_desde_pentahodev_18[Columna2])</f>
        <v>9</v>
      </c>
      <c r="D73" s="25">
        <f>SUM(Tabla_Consulta_desde_pentahodev_18[Columna3])</f>
        <v>2</v>
      </c>
      <c r="E73" s="25">
        <f>SUM(Tabla_Consulta_desde_pentahodev_18[Columna4])</f>
        <v>7</v>
      </c>
    </row>
    <row r="74" spans="1:17" hidden="1" x14ac:dyDescent="0.25">
      <c r="B74" t="s">
        <v>2071</v>
      </c>
      <c r="C74" t="s">
        <v>2072</v>
      </c>
      <c r="D74" t="s">
        <v>2073</v>
      </c>
      <c r="E74" t="s">
        <v>2074</v>
      </c>
    </row>
    <row r="75" spans="1:17" x14ac:dyDescent="0.25">
      <c r="B75" s="1" t="s">
        <v>248</v>
      </c>
      <c r="C75" s="1">
        <v>1</v>
      </c>
      <c r="D75" s="1">
        <v>0</v>
      </c>
      <c r="E75" s="1">
        <v>1</v>
      </c>
    </row>
    <row r="76" spans="1:17" x14ac:dyDescent="0.25">
      <c r="B76" s="1" t="s">
        <v>1357</v>
      </c>
      <c r="C76" s="1">
        <v>3</v>
      </c>
      <c r="D76" s="1">
        <v>0</v>
      </c>
      <c r="E76" s="1">
        <v>3</v>
      </c>
    </row>
    <row r="77" spans="1:17" x14ac:dyDescent="0.25">
      <c r="A77" s="14" t="s">
        <v>2088</v>
      </c>
      <c r="B77" s="1" t="s">
        <v>1828</v>
      </c>
      <c r="C77" s="1">
        <v>2</v>
      </c>
      <c r="D77" s="1">
        <v>1</v>
      </c>
      <c r="E77" s="1">
        <v>1</v>
      </c>
    </row>
    <row r="78" spans="1:17" x14ac:dyDescent="0.25">
      <c r="A78" s="14" t="s">
        <v>2088</v>
      </c>
      <c r="B78" s="1" t="s">
        <v>1920</v>
      </c>
      <c r="C78" s="1">
        <v>3</v>
      </c>
      <c r="D78" s="1">
        <v>1</v>
      </c>
      <c r="E78" s="1">
        <v>2</v>
      </c>
    </row>
    <row r="81" spans="2:2" x14ac:dyDescent="0.25">
      <c r="B81" s="1" t="s">
        <v>2089</v>
      </c>
    </row>
  </sheetData>
  <sheetProtection algorithmName="SHA-512" hashValue="6PtAfFiYhnGKTdGa6YQwCkP+hCVqBwYNCzvXO8eFwwYSIfmUgxZzC8zlhlw6YW0404Y0deVesJ46fXsA5J2CTQ==" saltValue="R/oD4Z6mLY8XgIjoRnPqLw==" spinCount="100000" sheet="1" objects="1" scenarios="1"/>
  <mergeCells count="20">
    <mergeCell ref="B71:B72"/>
    <mergeCell ref="C71:C72"/>
    <mergeCell ref="D71:E71"/>
    <mergeCell ref="D9:P9"/>
    <mergeCell ref="B68:E68"/>
    <mergeCell ref="N10:P10"/>
    <mergeCell ref="B9:B11"/>
    <mergeCell ref="C9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B5:P5"/>
    <mergeCell ref="B6:P6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F675706C62374BB717E4554B7108F0" ma:contentTypeVersion="12" ma:contentTypeDescription="Crear nuevo documento." ma:contentTypeScope="" ma:versionID="f42f3c8735dd0fc5d316c73d83cfa398">
  <xsd:schema xmlns:xsd="http://www.w3.org/2001/XMLSchema" xmlns:xs="http://www.w3.org/2001/XMLSchema" xmlns:p="http://schemas.microsoft.com/office/2006/metadata/properties" xmlns:ns2="6027e8ea-374f-419c-9a23-3699a4eacc5b" xmlns:ns3="7249626e-e1b7-43fe-af08-c851a47ae65a" targetNamespace="http://schemas.microsoft.com/office/2006/metadata/properties" ma:root="true" ma:fieldsID="c32a255ef150dab191f9c3fcd872b375" ns2:_="" ns3:_="">
    <xsd:import namespace="6027e8ea-374f-419c-9a23-3699a4eacc5b"/>
    <xsd:import namespace="7249626e-e1b7-43fe-af08-c851a47ae6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7e8ea-374f-419c-9a23-3699a4eac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d41fc41-1b60-45a1-baff-d4a3004237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9626e-e1b7-43fe-af08-c851a47ae65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459fb08-c8ed-468e-b025-c17f620ad2af}" ma:internalName="TaxCatchAll" ma:showField="CatchAllData" ma:web="7249626e-e1b7-43fe-af08-c851a47ae6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27e8ea-374f-419c-9a23-3699a4eacc5b">
      <Terms xmlns="http://schemas.microsoft.com/office/infopath/2007/PartnerControls"/>
    </lcf76f155ced4ddcb4097134ff3c332f>
    <TaxCatchAll xmlns="7249626e-e1b7-43fe-af08-c851a47ae65a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42C531-56D4-45A7-A12E-19FE3F9D38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27e8ea-374f-419c-9a23-3699a4eacc5b"/>
    <ds:schemaRef ds:uri="7249626e-e1b7-43fe-af08-c851a47ae6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ACBFBD-49EF-45A5-8CB8-9199DFA9B2D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7D054E2-4269-470C-8961-0E4EDCA18BFF}">
  <ds:schemaRefs>
    <ds:schemaRef ds:uri="http://schemas.microsoft.com/office/2006/metadata/properties"/>
    <ds:schemaRef ds:uri="http://schemas.microsoft.com/office/infopath/2007/PartnerControls"/>
    <ds:schemaRef ds:uri="6027e8ea-374f-419c-9a23-3699a4eacc5b"/>
    <ds:schemaRef ds:uri="7249626e-e1b7-43fe-af08-c851a47ae65a"/>
  </ds:schemaRefs>
</ds:datastoreItem>
</file>

<file path=customXml/itemProps4.xml><?xml version="1.0" encoding="utf-8"?>
<ds:datastoreItem xmlns:ds="http://schemas.openxmlformats.org/officeDocument/2006/customXml" ds:itemID="{2C3F4A68-3585-4F0A-A422-833EB52C8D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Menú</vt:lpstr>
      <vt:lpstr>CentrosFuncional</vt:lpstr>
      <vt:lpstr>Niveles</vt:lpstr>
      <vt:lpstr>Redes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Figueroa Arroyo Ana Claudia</dc:creator>
  <cp:keywords/>
  <dc:description/>
  <cp:lastModifiedBy>Bellido Mesones Oscar Enrique</cp:lastModifiedBy>
  <cp:revision/>
  <dcterms:created xsi:type="dcterms:W3CDTF">2025-01-22T17:55:41Z</dcterms:created>
  <dcterms:modified xsi:type="dcterms:W3CDTF">2025-08-21T17:07:08Z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0x01010095F675706C62374BB717E4554B7108F0</vt:lpwstr>
  </property>
  <property fmtid="{D5CDD505-2E9C-101B-9397-08002B2CF9AE}" pid="3" name="MediaServiceImageTags">
    <vt:lpwstr/>
  </property>
</Properties>
</file>